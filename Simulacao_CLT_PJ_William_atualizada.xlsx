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rike\Downloads\"/>
    </mc:Choice>
  </mc:AlternateContent>
  <xr:revisionPtr revIDLastSave="0" documentId="13_ncr:1_{F3041DA1-4D12-4D17-8695-4E7517EBA7B0}" xr6:coauthVersionLast="47" xr6:coauthVersionMax="47" xr10:uidLastSave="{00000000-0000-0000-0000-000000000000}"/>
  <bookViews>
    <workbookView xWindow="-21720" yWindow="660" windowWidth="21840" windowHeight="13020" activeTab="5" xr2:uid="{00000000-000D-0000-FFFF-FFFF00000000}"/>
  </bookViews>
  <sheets>
    <sheet name="Resumo" sheetId="1" r:id="rId1"/>
    <sheet name="Premissas" sheetId="2" r:id="rId2"/>
    <sheet name="Cenarios" sheetId="3" r:id="rId3"/>
    <sheet name="Simulador" sheetId="4" r:id="rId4"/>
    <sheet name="Fontes" sheetId="5" r:id="rId5"/>
    <sheet name="INSS x Investimen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6" l="1"/>
  <c r="C30" i="6"/>
  <c r="B30" i="6"/>
  <c r="M25" i="6"/>
  <c r="L25" i="6"/>
  <c r="C25" i="6"/>
  <c r="M24" i="6"/>
  <c r="L24" i="6"/>
  <c r="C24" i="6"/>
  <c r="L23" i="6"/>
  <c r="C23" i="6"/>
  <c r="M22" i="6"/>
  <c r="L22" i="6"/>
  <c r="C22" i="6"/>
  <c r="M21" i="6"/>
  <c r="L21" i="6"/>
  <c r="D21" i="6"/>
  <c r="E21" i="6" s="1"/>
  <c r="C21" i="6"/>
  <c r="M20" i="6"/>
  <c r="L20" i="6"/>
  <c r="C20" i="6"/>
  <c r="G11" i="6"/>
  <c r="G10" i="6"/>
  <c r="G7" i="6"/>
  <c r="G8" i="6" s="1"/>
  <c r="G9" i="6" s="1"/>
  <c r="G6" i="6"/>
  <c r="M23" i="6" s="1"/>
  <c r="E7" i="4"/>
  <c r="B15" i="3"/>
  <c r="B14" i="3"/>
  <c r="B13" i="3"/>
  <c r="B9" i="3"/>
  <c r="B8" i="3"/>
  <c r="B6" i="3"/>
  <c r="B5" i="3"/>
  <c r="E4" i="3"/>
  <c r="B4" i="3"/>
  <c r="B22" i="2"/>
  <c r="B7" i="3" s="1"/>
  <c r="B20" i="2"/>
  <c r="B8" i="4" s="1"/>
  <c r="B19" i="2"/>
  <c r="B18" i="2"/>
  <c r="I24" i="6" l="1"/>
  <c r="I21" i="6"/>
  <c r="I23" i="6"/>
  <c r="I20" i="6"/>
  <c r="B33" i="6" s="1"/>
  <c r="I25" i="6"/>
  <c r="C33" i="6" s="1"/>
  <c r="I22" i="6"/>
  <c r="D24" i="6"/>
  <c r="E24" i="6" s="1"/>
  <c r="F24" i="6" s="1"/>
  <c r="G24" i="6" s="1"/>
  <c r="H24" i="6" s="1"/>
  <c r="D4" i="3"/>
  <c r="C4" i="3"/>
  <c r="E6" i="3"/>
  <c r="B4" i="1"/>
  <c r="E5" i="3"/>
  <c r="D5" i="3"/>
  <c r="B7" i="4"/>
  <c r="E6" i="4" s="1"/>
  <c r="B21" i="2"/>
  <c r="B4" i="4"/>
  <c r="E23" i="6"/>
  <c r="E20" i="6"/>
  <c r="D22" i="6"/>
  <c r="E22" i="6" s="1"/>
  <c r="F22" i="6" s="1"/>
  <c r="G22" i="6" s="1"/>
  <c r="H22" i="6" s="1"/>
  <c r="D25" i="6"/>
  <c r="E25" i="6" s="1"/>
  <c r="D20" i="6"/>
  <c r="D23" i="6"/>
  <c r="J24" i="6" l="1"/>
  <c r="K24" i="6"/>
  <c r="K22" i="6"/>
  <c r="J22" i="6"/>
  <c r="B31" i="6"/>
  <c r="F20" i="6"/>
  <c r="G20" i="6" s="1"/>
  <c r="H20" i="6" s="1"/>
  <c r="C11" i="3"/>
  <c r="F25" i="6"/>
  <c r="G25" i="6" s="1"/>
  <c r="H25" i="6" s="1"/>
  <c r="C31" i="6"/>
  <c r="F21" i="6"/>
  <c r="G21" i="6" s="1"/>
  <c r="H21" i="6" s="1"/>
  <c r="E5" i="4"/>
  <c r="E4" i="4"/>
  <c r="E8" i="4" s="1"/>
  <c r="E9" i="4" s="1"/>
  <c r="F23" i="6"/>
  <c r="G23" i="6" s="1"/>
  <c r="H23" i="6" s="1"/>
  <c r="E10" i="3"/>
  <c r="E11" i="3" s="1"/>
  <c r="E12" i="3" s="1"/>
  <c r="D10" i="3"/>
  <c r="D11" i="3" s="1"/>
  <c r="C10" i="3"/>
  <c r="B10" i="3"/>
  <c r="B11" i="3" s="1"/>
  <c r="B8" i="1" l="1"/>
  <c r="D12" i="3"/>
  <c r="K23" i="6"/>
  <c r="J23" i="6"/>
  <c r="K21" i="6"/>
  <c r="J21" i="6"/>
  <c r="D13" i="3"/>
  <c r="B18" i="4"/>
  <c r="C13" i="3"/>
  <c r="B16" i="4"/>
  <c r="E10" i="4"/>
  <c r="E11" i="4" s="1"/>
  <c r="B5" i="1"/>
  <c r="E13" i="3"/>
  <c r="B12" i="3"/>
  <c r="B7" i="1"/>
  <c r="C12" i="3"/>
  <c r="J20" i="6"/>
  <c r="B32" i="6"/>
  <c r="C32" i="6"/>
  <c r="K25" i="6"/>
  <c r="C34" i="6" s="1"/>
  <c r="J25" i="6"/>
  <c r="D15" i="3" l="1"/>
  <c r="F5" i="1" s="1"/>
  <c r="D14" i="3"/>
  <c r="E5" i="1"/>
  <c r="B17" i="4"/>
  <c r="B6" i="1"/>
  <c r="E14" i="3"/>
  <c r="E6" i="1"/>
  <c r="E15" i="3"/>
  <c r="F6" i="1" s="1"/>
  <c r="C15" i="3"/>
  <c r="F4" i="1" s="1"/>
  <c r="E4" i="1"/>
  <c r="C14" i="3"/>
</calcChain>
</file>

<file path=xl/sharedStrings.xml><?xml version="1.0" encoding="utf-8"?>
<sst xmlns="http://schemas.openxmlformats.org/spreadsheetml/2006/main" count="366" uniqueCount="258">
  <si>
    <t>Resumo executivo - custo atual x cenários PJ</t>
  </si>
  <si>
    <t>Indicador</t>
  </si>
  <si>
    <t>Valor</t>
  </si>
  <si>
    <t>Cenário</t>
  </si>
  <si>
    <t>Economia anual</t>
  </si>
  <si>
    <t>Economia %</t>
  </si>
  <si>
    <t>Remuneração econômica mensal atual</t>
  </si>
  <si>
    <t>PJ 12x + benefícios</t>
  </si>
  <si>
    <t>Custo anual atual da empresa</t>
  </si>
  <si>
    <t>PJ 13x + benefícios</t>
  </si>
  <si>
    <t>Custo mensal equivalente atual</t>
  </si>
  <si>
    <t>PJ 13x + 1/3 férias + benefícios</t>
  </si>
  <si>
    <t>Custo PJ 12x + benefícios</t>
  </si>
  <si>
    <t>Custo PJ 13x + benefícios</t>
  </si>
  <si>
    <t>Leitura rápida</t>
  </si>
  <si>
    <t>• O custo anual atual inclui salário registrado, valor adicional, FGTS, 13º, 1/3 de férias e a parcela de saúde/odonto paga pela empresa.</t>
  </si>
  <si>
    <t>• O cenário PJ 12x preserva a remuneração mensal econômica e os benefícios, mas elimina FGTS, 13º e 1/3 de férias.</t>
  </si>
  <si>
    <t>• O cenário PJ 13x acrescenta uma 13ª remuneração integral sobre os R$ 24.008,00.</t>
  </si>
  <si>
    <t>• O cenário PJ 13x + 1/3 adiciona também um equivalente de 1/3 sobre a remuneração econômica integral.</t>
  </si>
  <si>
    <t>• Use a aba Simulador para alterar fee, número de pagamentos, férias/recesso, benefícios, carro e bônus.</t>
  </si>
  <si>
    <t>Premissas do modelo</t>
  </si>
  <si>
    <t>Premissa</t>
  </si>
  <si>
    <t>Unidade</t>
  </si>
  <si>
    <t>Observação / Fonte</t>
  </si>
  <si>
    <t>Salário bruto registrado</t>
  </si>
  <si>
    <t>R$/mês</t>
  </si>
  <si>
    <t>Holerite março/2026</t>
  </si>
  <si>
    <t>Remuneração adicional 'por fora'</t>
  </si>
  <si>
    <t>Informado pelo usuário</t>
  </si>
  <si>
    <t>FGTS</t>
  </si>
  <si>
    <t>%</t>
  </si>
  <si>
    <t>Incidência sobre remuneração registrada / 13º / 1/3 férias</t>
  </si>
  <si>
    <t>Plano de saúde - custo total informado</t>
  </si>
  <si>
    <t>Plano de saúde - desconto do funcionário</t>
  </si>
  <si>
    <t>Plano odontológico - custo total informado</t>
  </si>
  <si>
    <t>Plano odontológico - desconto do funcionário</t>
  </si>
  <si>
    <t>Coparticipação saúde descontada do funcionário</t>
  </si>
  <si>
    <t>Número de salários CLT no ano</t>
  </si>
  <si>
    <t>x</t>
  </si>
  <si>
    <t>Salário mensal normal</t>
  </si>
  <si>
    <t>13º CLT</t>
  </si>
  <si>
    <t>x salário</t>
  </si>
  <si>
    <t>Um salário adicional por ano</t>
  </si>
  <si>
    <t>Adicional constitucional de férias</t>
  </si>
  <si>
    <t>% do salário</t>
  </si>
  <si>
    <t>Custo adicional ao salário já contido nos 12 meses</t>
  </si>
  <si>
    <t>CPP/INSS patronal adicional fora do DAS</t>
  </si>
  <si>
    <t>Premissa: Simples Nacional fora do Anexo IV</t>
  </si>
  <si>
    <t>Cálculos derivados</t>
  </si>
  <si>
    <t>Fórmula</t>
  </si>
  <si>
    <t>Remuneração econômica mensal</t>
  </si>
  <si>
    <t>Salário registrado + valor adicional</t>
  </si>
  <si>
    <t>Custo empresa - saúde</t>
  </si>
  <si>
    <t>Custo total saúde - desconto funcionário</t>
  </si>
  <si>
    <t>Custo empresa - odontológico</t>
  </si>
  <si>
    <t>Custo total odonto - desconto funcionário</t>
  </si>
  <si>
    <t>Benefícios mensais pagos pela empresa</t>
  </si>
  <si>
    <t>Saúde + odonto pagos pela empresa</t>
  </si>
  <si>
    <t>FGTS mensal sobre salário registrado</t>
  </si>
  <si>
    <t>Salário registrado × 8%</t>
  </si>
  <si>
    <t>Comparação de cenários - custo anual da empresa</t>
  </si>
  <si>
    <t>Componente</t>
  </si>
  <si>
    <t>Atual CLT + extra</t>
  </si>
  <si>
    <t>Observação</t>
  </si>
  <si>
    <t>Base</t>
  </si>
  <si>
    <t>12 remunerações mensais</t>
  </si>
  <si>
    <t>Atual: registrado + adicional; PJ: remuneração econômica integral</t>
  </si>
  <si>
    <t>12 meses</t>
  </si>
  <si>
    <t>R$/ano</t>
  </si>
  <si>
    <t>13ª remuneração</t>
  </si>
  <si>
    <t>Atual: só sobre registrado; PJ conforme cenário</t>
  </si>
  <si>
    <t>1 pagamento</t>
  </si>
  <si>
    <t>1/3 de férias / equivalente</t>
  </si>
  <si>
    <t>1/3</t>
  </si>
  <si>
    <t>FGTS mensal (12 meses)</t>
  </si>
  <si>
    <t>Somente CLT</t>
  </si>
  <si>
    <t>8%</t>
  </si>
  <si>
    <t>FGTS sobre 13º</t>
  </si>
  <si>
    <t>FGTS sobre 1/3 de férias</t>
  </si>
  <si>
    <t>Saúde + odontológico (12 meses)</t>
  </si>
  <si>
    <t>Mantidos iguais em todos os cenários</t>
  </si>
  <si>
    <t>CUSTO ANUAL TOTAL</t>
  </si>
  <si>
    <t>Soma dos componentes anuais</t>
  </si>
  <si>
    <t>Total</t>
  </si>
  <si>
    <t>CUSTO MENSAL EQUIVALENTE</t>
  </si>
  <si>
    <t>Custo anual ÷ 12</t>
  </si>
  <si>
    <t>Média</t>
  </si>
  <si>
    <t>ECONOMIA ANUAL vs. atual</t>
  </si>
  <si>
    <t>Custo atual - cenário</t>
  </si>
  <si>
    <t>Diferença</t>
  </si>
  <si>
    <t>ECONOMIA MENSAL EQUIVALENTE</t>
  </si>
  <si>
    <t>Economia anual ÷ 12</t>
  </si>
  <si>
    <t>ECONOMIA % vs. atual</t>
  </si>
  <si>
    <t>Economia anual ÷ custo atual</t>
  </si>
  <si>
    <t>Percentual</t>
  </si>
  <si>
    <t>Simulador de proposta PJ</t>
  </si>
  <si>
    <t>Entrada / premissa</t>
  </si>
  <si>
    <t>Resultado</t>
  </si>
  <si>
    <t>Fee mensal PJ</t>
  </si>
  <si>
    <t>Custo anual com fees</t>
  </si>
  <si>
    <t>Digite o valor mensal proposto</t>
  </si>
  <si>
    <t>Número de pagamentos anuais</t>
  </si>
  <si>
    <t>Adicional anual férias/recesso</t>
  </si>
  <si>
    <t>Ex.: 12, 13 ou 14</t>
  </si>
  <si>
    <t>Adicional de férias / recesso</t>
  </si>
  <si>
    <t>% do fee</t>
  </si>
  <si>
    <t>Benefícios mensais anualizados</t>
  </si>
  <si>
    <t>0% = só recesso remunerado; 33,33% = equivalente ao 1/3</t>
  </si>
  <si>
    <t>Plano saúde - custo empresa</t>
  </si>
  <si>
    <t>Bônus anual</t>
  </si>
  <si>
    <t>Pode manter o custo atual ou simular outro</t>
  </si>
  <si>
    <t>Plano odonto - custo empresa</t>
  </si>
  <si>
    <t>CUSTO ANUAL PJ</t>
  </si>
  <si>
    <t>Carro / allowance</t>
  </si>
  <si>
    <t>Se aplicável</t>
  </si>
  <si>
    <t>Outros benefícios</t>
  </si>
  <si>
    <t>Seguro, celular, combustível etc.</t>
  </si>
  <si>
    <t>Valor anual esperado</t>
  </si>
  <si>
    <t>Indicadores de negociação</t>
  </si>
  <si>
    <t>Interpretação</t>
  </si>
  <si>
    <t>Base de comparação</t>
  </si>
  <si>
    <t>Fee mensal PJ máximo para igualar custo atual</t>
  </si>
  <si>
    <t>Com as premissas do simulador</t>
  </si>
  <si>
    <t>Fontes e notas metodológicas</t>
  </si>
  <si>
    <t>Tema</t>
  </si>
  <si>
    <t>Fonte</t>
  </si>
  <si>
    <t>Link / referência</t>
  </si>
  <si>
    <t>Nota</t>
  </si>
  <si>
    <t>Dados salariais</t>
  </si>
  <si>
    <t>Arquivo enviado pelo usuário</t>
  </si>
  <si>
    <t>Salário bruto, FGTS, descontos, saúde e odontológico</t>
  </si>
  <si>
    <t>Remuneração adicional</t>
  </si>
  <si>
    <t>Informação do usuário</t>
  </si>
  <si>
    <t>Conversa atual</t>
  </si>
  <si>
    <t>R$ 8.675,00 por mês</t>
  </si>
  <si>
    <t>Simples Nacional / CPP</t>
  </si>
  <si>
    <t>Receita Federal</t>
  </si>
  <si>
    <t>https://www.gov.br/receitafederal/pt-br/assuntos/orientacao-tributaria/cobrancas-e-intimacoes/contribuicao-previdenciaria-anexo-iv-do-simples-nacional</t>
  </si>
  <si>
    <t>Modelo assume CPP patronal dentro do DAS e não adiciona 20% fora do Simples</t>
  </si>
  <si>
    <t>Ministério do Trabalho / FGTS Digital</t>
  </si>
  <si>
    <t>https://www.gov.br/trabalho-e-emprego/pt-br/servicos/empregador/fgtsdigital/perguntas-frequentes</t>
  </si>
  <si>
    <t>FGTS considerado a 8%</t>
  </si>
  <si>
    <t>Metodologia</t>
  </si>
  <si>
    <t>Modelo de negociação</t>
  </si>
  <si>
    <t>Cálculo interno</t>
  </si>
  <si>
    <t>Sem provisões mensais; custo anual efetivo convertido em média mensal</t>
  </si>
  <si>
    <t>Importante</t>
  </si>
  <si>
    <t>Este arquivo é um modelo gerencial para negociação e simulação, não um parecer contábil, tributário ou jurídico.</t>
  </si>
  <si>
    <t>Os valores de benefícios refletem o holerite analisado e podem mudar por reajustes ou condições do plano.</t>
  </si>
  <si>
    <t>No simulador, células amarelas/azuis são editáveis; fórmulas ficam em preto.</t>
  </si>
  <si>
    <t>Fontes — aba INSS x Investimento</t>
  </si>
  <si>
    <t>INSS 2026</t>
  </si>
  <si>
    <t>Instituto Nacional do Seguro Social</t>
  </si>
  <si>
    <t>https://www.gov.br/inss/pt-br/direitos-e-deveres/inscricao-e-contribuicao/tabela-de-contribuicao-mensal</t>
  </si>
  <si>
    <t>Salário mínimo, teto RGPS e referência de contribuição</t>
  </si>
  <si>
    <t>IRPF 2026</t>
  </si>
  <si>
    <t>https://www.gov.br/receitafederal/pt-br/assuntos/meu-imposto-de-renda/tabelas/2026</t>
  </si>
  <si>
    <t>Tabela progressiva, desconto simplificado e redução mensal</t>
  </si>
  <si>
    <t>Dados previdenciários</t>
  </si>
  <si>
    <t>Meu INSS</t>
  </si>
  <si>
    <t>simulacao.pdf</t>
  </si>
  <si>
    <t>Idade, carência e tempo de contribuição</t>
  </si>
  <si>
    <t>Histórico contributivo</t>
  </si>
  <si>
    <t>CNIS</t>
  </si>
  <si>
    <t>extrato.pdf</t>
  </si>
  <si>
    <t>Remunerações e histórico de vínculos</t>
  </si>
  <si>
    <t>INSS x Investimento Privado — comparação de estratégias</t>
  </si>
  <si>
    <t>Modelo de planejamento em valores reais de 2026. A aposentadoria incremental é uma aproximação para comparação, não uma simulação oficial do INSS.</t>
  </si>
  <si>
    <t>Premissas editáveis</t>
  </si>
  <si>
    <t>Premissas derivadas</t>
  </si>
  <si>
    <t>Fórmula / leitura</t>
  </si>
  <si>
    <t>Idade atual</t>
  </si>
  <si>
    <t>anos</t>
  </si>
  <si>
    <t>Simulação INSS em 28/09/2026: 49 anos, 7 meses e 18 dias</t>
  </si>
  <si>
    <t>Meses até aposentadoria</t>
  </si>
  <si>
    <t>meses</t>
  </si>
  <si>
    <t>(idade-alvo − idade atual) × 12</t>
  </si>
  <si>
    <t>Idade-alvo para aposentadoria</t>
  </si>
  <si>
    <t>Altere para testar outra idade</t>
  </si>
  <si>
    <t>Anos futuros de contribuição</t>
  </si>
  <si>
    <t>Meses futuros ÷ 12</t>
  </si>
  <si>
    <t>Tempo de contribuição atual</t>
  </si>
  <si>
    <t>Aprox. 22 anos, 10 meses e 13 dias</t>
  </si>
  <si>
    <t>Tempo total projetado aos 65</t>
  </si>
  <si>
    <t>Tempo atual + futuro</t>
  </si>
  <si>
    <t>Meses históricos na média desde 07/1994</t>
  </si>
  <si>
    <t>Estimativa a partir do CNIS / carência atual</t>
  </si>
  <si>
    <t>Coeficiente estimado do benefício</t>
  </si>
  <si>
    <t>60% + 2 p.p. por ano acima de 20, limitado a 100%</t>
  </si>
  <si>
    <t>Pró-labore mínimo de referência</t>
  </si>
  <si>
    <t>Salário mínimo de 2026</t>
  </si>
  <si>
    <t>Meses de aposentadoria até expectativa de vida</t>
  </si>
  <si>
    <t>Expectativa de vida − idade de aposentadoria</t>
  </si>
  <si>
    <t>Alíquota INSS sobre pró-labore</t>
  </si>
  <si>
    <t>Hipótese: retenção de 11% do contribuinte individual</t>
  </si>
  <si>
    <t>Taxa real mensal do investimento</t>
  </si>
  <si>
    <t>% a.m.</t>
  </si>
  <si>
    <t>Equivalente mensal da rentabilidade real anual</t>
  </si>
  <si>
    <t>Teto previdenciário</t>
  </si>
  <si>
    <t>Teto RGPS 2026</t>
  </si>
  <si>
    <t>Rentabilidade real anual do investimento</t>
  </si>
  <si>
    <t>% a.a.</t>
  </si>
  <si>
    <t>Retorno acima da inflação; alterável</t>
  </si>
  <si>
    <t>Expectativa de vida para projeção</t>
  </si>
  <si>
    <t>Usada para estimar renda mensal do patrimônio</t>
  </si>
  <si>
    <t>Desconto simplificado mensal IRPF</t>
  </si>
  <si>
    <t>Tabela IRPF 2026</t>
  </si>
  <si>
    <t>Comparação de estratégias de pró-labore</t>
  </si>
  <si>
    <t>Estratégia</t>
  </si>
  <si>
    <t>Pró-labore</t>
  </si>
  <si>
    <t>INSS mensal</t>
  </si>
  <si>
    <t>IRPF mensal</t>
  </si>
  <si>
    <t>Custo tributário PF</t>
  </si>
  <si>
    <t>Custo adicional vs. mínimo</t>
  </si>
  <si>
    <t>Investimento mensal se ficar no mínimo</t>
  </si>
  <si>
    <t>Patrimônio aos 65</t>
  </si>
  <si>
    <t>Aumento estimado da aposentadoria</t>
  </si>
  <si>
    <t>Renda mensal do patrimônio até expectativa de vida</t>
  </si>
  <si>
    <t>Idade de equilíbrio simples</t>
  </si>
  <si>
    <t>Base previdenciária</t>
  </si>
  <si>
    <t>Fator de peso futuro</t>
  </si>
  <si>
    <t>Mínimo</t>
  </si>
  <si>
    <t>-</t>
  </si>
  <si>
    <t>Referência de menor custo atual</t>
  </si>
  <si>
    <t>Moderado 1</t>
  </si>
  <si>
    <t>Faixa sem IRPF mensal pela redução de 2026</t>
  </si>
  <si>
    <t>Moderado 2</t>
  </si>
  <si>
    <t>Mais INSS + IRPF; ainda abaixo da faixa de R$ 7.350</t>
  </si>
  <si>
    <t>Faixa IRPF 2026</t>
  </si>
  <si>
    <t>Fim da redução de IRPF em 2026</t>
  </si>
  <si>
    <t>Teto RGPS</t>
  </si>
  <si>
    <t>Maior base possível no RGPS em 2026</t>
  </si>
  <si>
    <t>Personalizado</t>
  </si>
  <si>
    <t>Edite o pró-labore para testar qualquer valor</t>
  </si>
  <si>
    <t>Leitura para decisão</t>
  </si>
  <si>
    <t>Leitura</t>
  </si>
  <si>
    <t>Base mensal escolhida para contribuição</t>
  </si>
  <si>
    <t>Este modelo isola a decisão previdenciária/pessoal. Não inclui eventual economia de DAS pelo Fator R, nem mudanças futuras nas regras do RGPS, no teto, no salário mínimo, na tabela do IRPF ou na tributação de dividendos. A estimativa de aposentadoria incremental usa o peso das futuras contribuições na média contributiva e o coeficiente projetado; serve para comparação entre cenários, não para requerimento de benefício.</t>
  </si>
  <si>
    <t>INSS + IRPF mensal</t>
  </si>
  <si>
    <t>Patrimônio privado aos 65</t>
  </si>
  <si>
    <t>Se a diferença tributária for investida com a rentabilidade real assumida</t>
  </si>
  <si>
    <t>Diferença mensal estimada de benefício versus contribuir pelo mínimo</t>
  </si>
  <si>
    <t>Idade em que o INSS adicional acumulado igualaria o capital privado; ignora rendimento após a aposentadoria</t>
  </si>
  <si>
    <t>Fontes utilizadas nesta aba</t>
  </si>
  <si>
    <t>URL / documento</t>
  </si>
  <si>
    <t>Uso no modelo</t>
  </si>
  <si>
    <t>Simulação de Aposentadoria - Meu INSS</t>
  </si>
  <si>
    <t>Arquivo simulacao.pdf enviado em 28/09/2026</t>
  </si>
  <si>
    <t>Idade e tempo de contribuição atuais</t>
  </si>
  <si>
    <t>CNIS - Extrato Previdenciário</t>
  </si>
  <si>
    <t>Arquivo extrato.pdf enviado em 28/09/2026</t>
  </si>
  <si>
    <t>Histórico desde 1993 e teto consolidado em 2026</t>
  </si>
  <si>
    <t>INSS</t>
  </si>
  <si>
    <t>Salário mínimo e teto RGPS de 2026</t>
  </si>
  <si>
    <t>Metodologia previdenciária</t>
  </si>
  <si>
    <t>Modelo comparativo</t>
  </si>
  <si>
    <t>Cálculo aproximado</t>
  </si>
  <si>
    <t>Compara benefício incremental versus patrimônio privado em valores reais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</si>
</sst>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%"/>
    <numFmt numFmtId="166" formatCode="0.0"/>
    <numFmt numFmtId="167" formatCode="&quot;R$&quot;\ #,##0.00;[Red]\(&quot;R$&quot;\ #,##0.00\);\-"/>
    <numFmt numFmtId="168" formatCode="#,##0.00;[Red]\(#,##0.00\);\-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1F1F1F"/>
      <name val="Carlito"/>
    </font>
    <font>
      <sz val="11"/>
      <color rgb="FF000000"/>
      <name val="Carlito"/>
    </font>
    <font>
      <b/>
      <sz val="11"/>
      <name val="Carlito"/>
    </font>
    <font>
      <b/>
      <sz val="11"/>
      <color rgb="FF000000"/>
      <name val="Carlito"/>
    </font>
    <font>
      <sz val="11"/>
      <color rgb="FF7F6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165" fontId="3" fillId="4" borderId="0" xfId="0" applyNumberFormat="1" applyFont="1" applyFill="1" applyBorder="1" applyAlignment="1">
      <alignment wrapText="1"/>
    </xf>
    <xf numFmtId="2" fontId="3" fillId="4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wrapText="1"/>
    </xf>
    <xf numFmtId="165" fontId="6" fillId="0" borderId="0" xfId="0" applyNumberFormat="1" applyFont="1" applyFill="1" applyBorder="1" applyAlignment="1">
      <alignment wrapText="1"/>
    </xf>
    <xf numFmtId="166" fontId="3" fillId="4" borderId="0" xfId="0" applyNumberFormat="1" applyFont="1" applyFill="1" applyBorder="1" applyAlignment="1">
      <alignment wrapText="1"/>
    </xf>
    <xf numFmtId="0" fontId="6" fillId="6" borderId="0" xfId="0" applyNumberFormat="1" applyFont="1" applyFill="1" applyBorder="1" applyAlignment="1">
      <alignment wrapText="1"/>
    </xf>
    <xf numFmtId="165" fontId="6" fillId="6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67" fontId="3" fillId="4" borderId="0" xfId="0" applyNumberFormat="1" applyFont="1" applyFill="1" applyBorder="1" applyAlignment="1">
      <alignment wrapText="1"/>
    </xf>
    <xf numFmtId="167" fontId="5" fillId="0" borderId="0" xfId="0" applyNumberFormat="1" applyFont="1" applyFill="1" applyBorder="1" applyAlignment="1">
      <alignment wrapText="1"/>
    </xf>
    <xf numFmtId="167" fontId="0" fillId="0" borderId="0" xfId="0" applyNumberFormat="1" applyFont="1" applyFill="1" applyBorder="1" applyAlignment="1">
      <alignment wrapText="1"/>
    </xf>
    <xf numFmtId="167" fontId="4" fillId="5" borderId="0" xfId="0" applyNumberFormat="1" applyFont="1" applyFill="1" applyBorder="1" applyAlignment="1">
      <alignment wrapText="1"/>
    </xf>
    <xf numFmtId="167" fontId="6" fillId="0" borderId="0" xfId="0" applyNumberFormat="1" applyFont="1" applyFill="1" applyBorder="1" applyAlignment="1">
      <alignment wrapText="1"/>
    </xf>
    <xf numFmtId="167" fontId="6" fillId="6" borderId="0" xfId="0" applyNumberFormat="1" applyFont="1" applyFill="1" applyBorder="1" applyAlignment="1">
      <alignment wrapText="1"/>
    </xf>
    <xf numFmtId="167" fontId="7" fillId="4" borderId="0" xfId="0" applyNumberFormat="1" applyFont="1" applyFill="1" applyBorder="1" applyAlignment="1">
      <alignment wrapText="1"/>
    </xf>
    <xf numFmtId="0" fontId="2" fillId="10" borderId="0" xfId="0" applyNumberFormat="1" applyFont="1" applyFill="1" applyBorder="1" applyAlignment="1">
      <alignment horizontal="center" vertical="center" wrapText="1"/>
    </xf>
    <xf numFmtId="168" fontId="3" fillId="8" borderId="0" xfId="0" applyNumberFormat="1" applyFont="1" applyFill="1" applyBorder="1" applyAlignment="1">
      <alignment wrapText="1"/>
    </xf>
    <xf numFmtId="168" fontId="0" fillId="0" borderId="0" xfId="0" applyNumberFormat="1" applyFont="1" applyFill="1" applyBorder="1" applyAlignment="1">
      <alignment wrapText="1"/>
    </xf>
    <xf numFmtId="167" fontId="3" fillId="8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65" fontId="3" fillId="8" borderId="0" xfId="0" applyNumberFormat="1" applyFont="1" applyFill="1" applyBorder="1" applyAlignment="1">
      <alignment wrapText="1"/>
    </xf>
    <xf numFmtId="166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167" fontId="3" fillId="8" borderId="0" xfId="0" applyNumberFormat="1" applyFont="1" applyFill="1" applyBorder="1" applyAlignment="1">
      <alignment vertical="center" wrapText="1"/>
    </xf>
    <xf numFmtId="167" fontId="5" fillId="0" borderId="0" xfId="0" applyNumberFormat="1" applyFont="1" applyFill="1" applyBorder="1" applyAlignment="1">
      <alignment vertical="center" wrapText="1"/>
    </xf>
    <xf numFmtId="166" fontId="5" fillId="0" borderId="0" xfId="0" applyNumberFormat="1" applyFont="1" applyFill="1" applyBorder="1" applyAlignment="1">
      <alignment vertical="center" wrapText="1"/>
    </xf>
    <xf numFmtId="165" fontId="5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4" fillId="5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4" fillId="9" borderId="0" xfId="0" applyNumberFormat="1" applyFont="1" applyFill="1" applyBorder="1"/>
    <xf numFmtId="0" fontId="1" fillId="7" borderId="0" xfId="0" applyNumberFormat="1" applyFont="1" applyFill="1" applyBorder="1" applyAlignment="1">
      <alignment horizontal="left" vertical="center" wrapText="1"/>
    </xf>
    <xf numFmtId="0" fontId="8" fillId="8" borderId="0" xfId="0" applyNumberFormat="1" applyFont="1" applyFill="1" applyBorder="1" applyAlignment="1">
      <alignment wrapText="1"/>
    </xf>
    <xf numFmtId="0" fontId="4" fillId="9" borderId="0" xfId="0" applyNumberFormat="1" applyFont="1" applyFill="1" applyBorder="1" applyAlignment="1">
      <alignment wrapText="1"/>
    </xf>
    <xf numFmtId="0" fontId="2" fillId="1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Economia anual por cenário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Economia anual</c:v>
          </c:tx>
          <c:invertIfNegative val="1"/>
          <c:cat>
            <c:strRef>
              <c:f>Resumo!$D$4:$D$6</c:f>
              <c:strCache>
                <c:ptCount val="3"/>
                <c:pt idx="0">
                  <c:v>PJ 12x + benefícios</c:v>
                </c:pt>
                <c:pt idx="1">
                  <c:v>PJ 13x + benefícios</c:v>
                </c:pt>
                <c:pt idx="2">
                  <c:v>PJ 13x + 1/3 férias + benefícios</c:v>
                </c:pt>
              </c:strCache>
            </c:strRef>
          </c:cat>
          <c:val>
            <c:numRef>
              <c:f>Resumo!$E$4:$E$6</c:f>
              <c:numCache>
                <c:formatCode>"R$"\ #,##0.00;[Red]\("R$"\ #,##0.00\);\-</c:formatCode>
                <c:ptCount val="3"/>
                <c:pt idx="0">
                  <c:v>36799.200000000012</c:v>
                </c:pt>
                <c:pt idx="1">
                  <c:v>12791.200000000012</c:v>
                </c:pt>
                <c:pt idx="2">
                  <c:v>4788.5333333333256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9-4105-924C-30C469095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Patrimônio privado aos 65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51-4CFE-980A-6E1DB10C9384}"/>
            </c:ext>
          </c:extLst>
        </c:ser>
        <c:ser>
          <c:idx val="1"/>
          <c:order val="1"/>
          <c:tx>
            <c:v>Patrimônio</c:v>
          </c:tx>
          <c:invertIfNegative val="1"/>
          <c:cat>
            <c:strRef>
              <c:f>'INSS x Investimento'!$A$20:$A$25</c:f>
              <c:strCache>
                <c:ptCount val="6"/>
                <c:pt idx="0">
                  <c:v>Mínimo</c:v>
                </c:pt>
                <c:pt idx="1">
                  <c:v>Moderado 1</c:v>
                </c:pt>
                <c:pt idx="2">
                  <c:v>Moderado 2</c:v>
                </c:pt>
                <c:pt idx="3">
                  <c:v>Faixa IRPF 2026</c:v>
                </c:pt>
                <c:pt idx="4">
                  <c:v>Teto RGPS</c:v>
                </c:pt>
                <c:pt idx="5">
                  <c:v>Personalizado</c:v>
                </c:pt>
              </c:strCache>
            </c:strRef>
          </c:cat>
          <c:val>
            <c:numRef>
              <c:f>'INSS x Investimento'!$H$20:$H$25</c:f>
              <c:numCache>
                <c:formatCode>"R$"\ #,##0.00;[Red]\("R$"\ #,##0.00\);\-</c:formatCode>
                <c:ptCount val="6"/>
                <c:pt idx="0">
                  <c:v>0</c:v>
                </c:pt>
                <c:pt idx="1">
                  <c:v>71491.421971617412</c:v>
                </c:pt>
                <c:pt idx="2">
                  <c:v>235413.96654151558</c:v>
                </c:pt>
                <c:pt idx="3">
                  <c:v>415353.64664330421</c:v>
                </c:pt>
                <c:pt idx="4">
                  <c:v>524437.03689932462</c:v>
                </c:pt>
                <c:pt idx="5">
                  <c:v>101542.46105174242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1-4CFE-980A-6E1DB10C9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Aumento estimado da aposentadoria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B90-4107-B1B6-935EEC7E4FAD}"/>
            </c:ext>
          </c:extLst>
        </c:ser>
        <c:ser>
          <c:idx val="1"/>
          <c:order val="1"/>
          <c:tx>
            <c:v>Aumento mensal</c:v>
          </c:tx>
          <c:invertIfNegative val="1"/>
          <c:cat>
            <c:strRef>
              <c:f>'INSS x Investimento'!$A$20:$A$25</c:f>
              <c:strCache>
                <c:ptCount val="6"/>
                <c:pt idx="0">
                  <c:v>Mínimo</c:v>
                </c:pt>
                <c:pt idx="1">
                  <c:v>Moderado 1</c:v>
                </c:pt>
                <c:pt idx="2">
                  <c:v>Moderado 2</c:v>
                </c:pt>
                <c:pt idx="3">
                  <c:v>Faixa IRPF 2026</c:v>
                </c:pt>
                <c:pt idx="4">
                  <c:v>Teto RGPS</c:v>
                </c:pt>
                <c:pt idx="5">
                  <c:v>Personalizado</c:v>
                </c:pt>
              </c:strCache>
            </c:strRef>
          </c:cat>
          <c:val>
            <c:numRef>
              <c:f>'INSS x Investimento'!$I$20:$I$25</c:f>
              <c:numCache>
                <c:formatCode>"R$"\ #,##0.00;[Red]\("R$"\ #,##0.00\);\-</c:formatCode>
                <c:ptCount val="6"/>
                <c:pt idx="0">
                  <c:v>0</c:v>
                </c:pt>
                <c:pt idx="1">
                  <c:v>923.23662844638955</c:v>
                </c:pt>
                <c:pt idx="2">
                  <c:v>1699.3918436177971</c:v>
                </c:pt>
                <c:pt idx="3">
                  <c:v>2223.2966138584975</c:v>
                </c:pt>
                <c:pt idx="4">
                  <c:v>2660.0973650765864</c:v>
                </c:pt>
                <c:pt idx="5">
                  <c:v>1311.3142360320933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0-4107-B1B6-935EEC7E4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36</xdr:row>
      <xdr:rowOff>0</xdr:rowOff>
    </xdr:from>
    <xdr:to>
      <xdr:col>10</xdr:col>
      <xdr:colOff>0</xdr:colOff>
      <xdr:row>52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workbookViewId="0">
      <selection sqref="A1:F1"/>
    </sheetView>
  </sheetViews>
  <sheetFormatPr defaultRowHeight="14"/>
  <cols>
    <col min="1" max="1" width="38" customWidth="1"/>
    <col min="2" max="2" width="20" customWidth="1"/>
    <col min="3" max="3" width="4" customWidth="1"/>
    <col min="4" max="4" width="32" customWidth="1"/>
    <col min="5" max="5" width="20" customWidth="1"/>
    <col min="6" max="6" width="16" customWidth="1"/>
  </cols>
  <sheetData>
    <row r="1" spans="1:6" ht="18">
      <c r="A1" s="30" t="s">
        <v>0</v>
      </c>
      <c r="B1" s="30"/>
      <c r="C1" s="30"/>
      <c r="D1" s="30"/>
      <c r="E1" s="30"/>
      <c r="F1" s="30"/>
    </row>
    <row r="2" spans="1:6">
      <c r="A2" s="1"/>
      <c r="B2" s="1"/>
      <c r="C2" s="1"/>
      <c r="D2" s="1"/>
      <c r="E2" s="1"/>
      <c r="F2" s="1"/>
    </row>
    <row r="3" spans="1:6">
      <c r="A3" s="2" t="s">
        <v>1</v>
      </c>
      <c r="B3" s="2" t="s">
        <v>2</v>
      </c>
      <c r="C3" s="1"/>
      <c r="D3" s="2" t="s">
        <v>3</v>
      </c>
      <c r="E3" s="2" t="s">
        <v>4</v>
      </c>
      <c r="F3" s="2" t="s">
        <v>5</v>
      </c>
    </row>
    <row r="4" spans="1:6">
      <c r="A4" s="1" t="s">
        <v>6</v>
      </c>
      <c r="B4" s="13">
        <f>Premissas!B18</f>
        <v>24008</v>
      </c>
      <c r="C4" s="1"/>
      <c r="D4" s="1" t="s">
        <v>7</v>
      </c>
      <c r="E4" s="13">
        <f>Cenarios!C13</f>
        <v>36799.200000000012</v>
      </c>
      <c r="F4" s="10">
        <f>Cenarios!C15</f>
        <v>0.11088391467297275</v>
      </c>
    </row>
    <row r="5" spans="1:6">
      <c r="A5" s="1" t="s">
        <v>8</v>
      </c>
      <c r="B5" s="13">
        <f>Cenarios!B11</f>
        <v>331871.40000000002</v>
      </c>
      <c r="C5" s="1"/>
      <c r="D5" s="1" t="s">
        <v>9</v>
      </c>
      <c r="E5" s="13">
        <f>Cenarios!D13</f>
        <v>12791.200000000012</v>
      </c>
      <c r="F5" s="10">
        <f>Cenarios!D15</f>
        <v>3.8542640311879872E-2</v>
      </c>
    </row>
    <row r="6" spans="1:6">
      <c r="A6" s="1" t="s">
        <v>10</v>
      </c>
      <c r="B6" s="13">
        <f>Cenarios!B12</f>
        <v>27655.95</v>
      </c>
      <c r="C6" s="1"/>
      <c r="D6" s="1" t="s">
        <v>11</v>
      </c>
      <c r="E6" s="13">
        <f>Cenarios!E13</f>
        <v>4788.5333333333256</v>
      </c>
      <c r="F6" s="10">
        <f>Cenarios!E15</f>
        <v>1.4428882191515524E-2</v>
      </c>
    </row>
    <row r="7" spans="1:6">
      <c r="A7" s="1" t="s">
        <v>12</v>
      </c>
      <c r="B7" s="13">
        <f>Cenarios!C11</f>
        <v>295072.2</v>
      </c>
      <c r="C7" s="1"/>
      <c r="D7" s="1"/>
      <c r="E7" s="1"/>
      <c r="F7" s="1"/>
    </row>
    <row r="8" spans="1:6">
      <c r="A8" s="1" t="s">
        <v>13</v>
      </c>
      <c r="B8" s="13">
        <f>Cenarios!D11</f>
        <v>319080.2</v>
      </c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31" t="s">
        <v>14</v>
      </c>
      <c r="B10" s="31"/>
      <c r="C10" s="31"/>
      <c r="D10" s="31"/>
      <c r="E10" s="31"/>
      <c r="F10" s="31"/>
    </row>
    <row r="11" spans="1:6">
      <c r="A11" s="32" t="s">
        <v>15</v>
      </c>
      <c r="B11" s="32"/>
      <c r="C11" s="32"/>
      <c r="D11" s="32"/>
      <c r="E11" s="32"/>
      <c r="F11" s="32"/>
    </row>
    <row r="12" spans="1:6">
      <c r="A12" s="32" t="s">
        <v>16</v>
      </c>
      <c r="B12" s="32"/>
      <c r="C12" s="32"/>
      <c r="D12" s="32"/>
      <c r="E12" s="32"/>
      <c r="F12" s="32"/>
    </row>
    <row r="13" spans="1:6">
      <c r="A13" s="32" t="s">
        <v>17</v>
      </c>
      <c r="B13" s="32"/>
      <c r="C13" s="32"/>
      <c r="D13" s="32"/>
      <c r="E13" s="32"/>
      <c r="F13" s="32"/>
    </row>
    <row r="14" spans="1:6">
      <c r="A14" s="32" t="s">
        <v>18</v>
      </c>
      <c r="B14" s="32"/>
      <c r="C14" s="32"/>
      <c r="D14" s="32"/>
      <c r="E14" s="32"/>
      <c r="F14" s="32"/>
    </row>
    <row r="15" spans="1:6">
      <c r="A15" s="32" t="s">
        <v>19</v>
      </c>
      <c r="B15" s="32"/>
      <c r="C15" s="32"/>
      <c r="D15" s="32"/>
      <c r="E15" s="32"/>
      <c r="F15" s="32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</sheetData>
  <mergeCells count="7">
    <mergeCell ref="A14:F14"/>
    <mergeCell ref="A15:F15"/>
    <mergeCell ref="A1:F1"/>
    <mergeCell ref="A10:F10"/>
    <mergeCell ref="A11:F11"/>
    <mergeCell ref="A12:F12"/>
    <mergeCell ref="A13:F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4"/>
  <cols>
    <col min="1" max="1" width="38" customWidth="1"/>
    <col min="2" max="2" width="16" customWidth="1"/>
    <col min="3" max="3" width="14" customWidth="1"/>
    <col min="4" max="4" width="48" customWidth="1"/>
  </cols>
  <sheetData>
    <row r="1" spans="1:4" ht="18">
      <c r="A1" s="30" t="s">
        <v>20</v>
      </c>
      <c r="B1" s="30"/>
      <c r="C1" s="30"/>
      <c r="D1" s="30"/>
    </row>
    <row r="2" spans="1:4">
      <c r="A2" s="1"/>
      <c r="B2" s="1"/>
      <c r="C2" s="1"/>
      <c r="D2" s="1"/>
    </row>
    <row r="3" spans="1:4">
      <c r="A3" s="2" t="s">
        <v>21</v>
      </c>
      <c r="B3" s="2" t="s">
        <v>2</v>
      </c>
      <c r="C3" s="2" t="s">
        <v>22</v>
      </c>
      <c r="D3" s="2" t="s">
        <v>23</v>
      </c>
    </row>
    <row r="4" spans="1:4">
      <c r="A4" s="1" t="s">
        <v>24</v>
      </c>
      <c r="B4" s="11">
        <v>15333</v>
      </c>
      <c r="C4" s="1" t="s">
        <v>25</v>
      </c>
      <c r="D4" s="1" t="s">
        <v>26</v>
      </c>
    </row>
    <row r="5" spans="1:4">
      <c r="A5" s="1" t="s">
        <v>27</v>
      </c>
      <c r="B5" s="11">
        <v>8675</v>
      </c>
      <c r="C5" s="1" t="s">
        <v>25</v>
      </c>
      <c r="D5" s="1" t="s">
        <v>28</v>
      </c>
    </row>
    <row r="6" spans="1:4">
      <c r="A6" s="1" t="s">
        <v>29</v>
      </c>
      <c r="B6" s="3">
        <v>0.08</v>
      </c>
      <c r="C6" s="1" t="s">
        <v>30</v>
      </c>
      <c r="D6" s="1" t="s">
        <v>31</v>
      </c>
    </row>
    <row r="7" spans="1:4">
      <c r="A7" s="1" t="s">
        <v>32</v>
      </c>
      <c r="B7" s="11">
        <v>1609.54</v>
      </c>
      <c r="C7" s="1" t="s">
        <v>25</v>
      </c>
      <c r="D7" s="1" t="s">
        <v>26</v>
      </c>
    </row>
    <row r="8" spans="1:4">
      <c r="A8" s="1" t="s">
        <v>33</v>
      </c>
      <c r="B8" s="11">
        <v>1045.43</v>
      </c>
      <c r="C8" s="1" t="s">
        <v>25</v>
      </c>
      <c r="D8" s="1" t="s">
        <v>26</v>
      </c>
    </row>
    <row r="9" spans="1:4">
      <c r="A9" s="1" t="s">
        <v>34</v>
      </c>
      <c r="B9" s="11">
        <v>87.72</v>
      </c>
      <c r="C9" s="1" t="s">
        <v>25</v>
      </c>
      <c r="D9" s="1" t="s">
        <v>26</v>
      </c>
    </row>
    <row r="10" spans="1:4">
      <c r="A10" s="1" t="s">
        <v>35</v>
      </c>
      <c r="B10" s="11">
        <v>70.48</v>
      </c>
      <c r="C10" s="1" t="s">
        <v>25</v>
      </c>
      <c r="D10" s="1" t="s">
        <v>26</v>
      </c>
    </row>
    <row r="11" spans="1:4" ht="28">
      <c r="A11" s="1" t="s">
        <v>36</v>
      </c>
      <c r="B11" s="11">
        <v>193.42</v>
      </c>
      <c r="C11" s="1" t="s">
        <v>25</v>
      </c>
      <c r="D11" s="1" t="s">
        <v>26</v>
      </c>
    </row>
    <row r="12" spans="1:4">
      <c r="A12" s="1" t="s">
        <v>37</v>
      </c>
      <c r="B12" s="3">
        <v>12</v>
      </c>
      <c r="C12" s="1" t="s">
        <v>38</v>
      </c>
      <c r="D12" s="1" t="s">
        <v>39</v>
      </c>
    </row>
    <row r="13" spans="1:4">
      <c r="A13" s="1" t="s">
        <v>40</v>
      </c>
      <c r="B13" s="4">
        <v>1</v>
      </c>
      <c r="C13" s="1" t="s">
        <v>41</v>
      </c>
      <c r="D13" s="1" t="s">
        <v>42</v>
      </c>
    </row>
    <row r="14" spans="1:4">
      <c r="A14" s="1" t="s">
        <v>43</v>
      </c>
      <c r="B14" s="4">
        <v>0.33333333333333331</v>
      </c>
      <c r="C14" s="1" t="s">
        <v>44</v>
      </c>
      <c r="D14" s="1" t="s">
        <v>45</v>
      </c>
    </row>
    <row r="15" spans="1:4">
      <c r="A15" s="1" t="s">
        <v>46</v>
      </c>
      <c r="B15" s="3">
        <v>0</v>
      </c>
      <c r="C15" s="1" t="s">
        <v>30</v>
      </c>
      <c r="D15" s="1" t="s">
        <v>47</v>
      </c>
    </row>
    <row r="16" spans="1:4">
      <c r="A16" s="1"/>
      <c r="B16" s="1"/>
      <c r="C16" s="1"/>
      <c r="D16" s="1"/>
    </row>
    <row r="17" spans="1:4">
      <c r="A17" s="5" t="s">
        <v>48</v>
      </c>
      <c r="B17" s="5" t="s">
        <v>2</v>
      </c>
      <c r="C17" s="5" t="s">
        <v>22</v>
      </c>
      <c r="D17" s="5" t="s">
        <v>49</v>
      </c>
    </row>
    <row r="18" spans="1:4">
      <c r="A18" s="1" t="s">
        <v>50</v>
      </c>
      <c r="B18" s="12">
        <f>B4+B5</f>
        <v>24008</v>
      </c>
      <c r="C18" s="1" t="s">
        <v>25</v>
      </c>
      <c r="D18" s="1" t="s">
        <v>51</v>
      </c>
    </row>
    <row r="19" spans="1:4">
      <c r="A19" s="1" t="s">
        <v>52</v>
      </c>
      <c r="B19" s="12">
        <f>B7-B8</f>
        <v>564.1099999999999</v>
      </c>
      <c r="C19" s="1" t="s">
        <v>25</v>
      </c>
      <c r="D19" s="1" t="s">
        <v>53</v>
      </c>
    </row>
    <row r="20" spans="1:4">
      <c r="A20" s="1" t="s">
        <v>54</v>
      </c>
      <c r="B20" s="12">
        <f>B9-B10</f>
        <v>17.239999999999995</v>
      </c>
      <c r="C20" s="1" t="s">
        <v>25</v>
      </c>
      <c r="D20" s="1" t="s">
        <v>55</v>
      </c>
    </row>
    <row r="21" spans="1:4">
      <c r="A21" s="1" t="s">
        <v>56</v>
      </c>
      <c r="B21" s="12">
        <f>B19+B20</f>
        <v>581.34999999999991</v>
      </c>
      <c r="C21" s="1" t="s">
        <v>25</v>
      </c>
      <c r="D21" s="1" t="s">
        <v>57</v>
      </c>
    </row>
    <row r="22" spans="1:4">
      <c r="A22" s="1" t="s">
        <v>58</v>
      </c>
      <c r="B22" s="12">
        <f>B4*B6</f>
        <v>1226.6400000000001</v>
      </c>
      <c r="C22" s="1" t="s">
        <v>25</v>
      </c>
      <c r="D22" s="1" t="s">
        <v>59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defaultRowHeight="14"/>
  <cols>
    <col min="1" max="1" width="34" customWidth="1"/>
    <col min="2" max="5" width="22" customWidth="1"/>
    <col min="6" max="6" width="46" customWidth="1"/>
    <col min="7" max="8" width="16" customWidth="1"/>
  </cols>
  <sheetData>
    <row r="1" spans="1:8" ht="18">
      <c r="A1" s="30" t="s">
        <v>60</v>
      </c>
      <c r="B1" s="30"/>
      <c r="C1" s="30"/>
      <c r="D1" s="30"/>
      <c r="E1" s="30"/>
      <c r="F1" s="30"/>
      <c r="G1" s="30"/>
      <c r="H1" s="30"/>
    </row>
    <row r="2" spans="1:8">
      <c r="A2" s="1"/>
      <c r="B2" s="1"/>
      <c r="C2" s="1"/>
      <c r="D2" s="1"/>
      <c r="E2" s="1"/>
      <c r="F2" s="1"/>
      <c r="G2" s="1"/>
      <c r="H2" s="1"/>
    </row>
    <row r="3" spans="1:8" ht="28">
      <c r="A3" s="2" t="s">
        <v>61</v>
      </c>
      <c r="B3" s="2" t="s">
        <v>62</v>
      </c>
      <c r="C3" s="2" t="s">
        <v>7</v>
      </c>
      <c r="D3" s="2" t="s">
        <v>9</v>
      </c>
      <c r="E3" s="2" t="s">
        <v>11</v>
      </c>
      <c r="F3" s="2" t="s">
        <v>63</v>
      </c>
      <c r="G3" s="2" t="s">
        <v>64</v>
      </c>
      <c r="H3" s="2" t="s">
        <v>22</v>
      </c>
    </row>
    <row r="4" spans="1:8" ht="28">
      <c r="A4" s="1" t="s">
        <v>65</v>
      </c>
      <c r="B4" s="13">
        <f>Premissas!B4*12+Premissas!B5*12</f>
        <v>288096</v>
      </c>
      <c r="C4" s="13">
        <f>Premissas!B18*12</f>
        <v>288096</v>
      </c>
      <c r="D4" s="13">
        <f>Premissas!B18*12</f>
        <v>288096</v>
      </c>
      <c r="E4" s="13">
        <f>Premissas!B18*12</f>
        <v>288096</v>
      </c>
      <c r="F4" s="1" t="s">
        <v>66</v>
      </c>
      <c r="G4" s="1" t="s">
        <v>67</v>
      </c>
      <c r="H4" s="1" t="s">
        <v>68</v>
      </c>
    </row>
    <row r="5" spans="1:8">
      <c r="A5" s="1" t="s">
        <v>69</v>
      </c>
      <c r="B5" s="13">
        <f>Premissas!B4</f>
        <v>15333</v>
      </c>
      <c r="C5" s="13">
        <v>0</v>
      </c>
      <c r="D5" s="13">
        <f>Premissas!B18</f>
        <v>24008</v>
      </c>
      <c r="E5" s="13">
        <f>Premissas!B18</f>
        <v>24008</v>
      </c>
      <c r="F5" s="1" t="s">
        <v>70</v>
      </c>
      <c r="G5" s="1" t="s">
        <v>71</v>
      </c>
      <c r="H5" s="1" t="s">
        <v>68</v>
      </c>
    </row>
    <row r="6" spans="1:8">
      <c r="A6" s="1" t="s">
        <v>72</v>
      </c>
      <c r="B6" s="13">
        <f>Premissas!B4*Premissas!B14</f>
        <v>5111</v>
      </c>
      <c r="C6" s="13">
        <v>0</v>
      </c>
      <c r="D6" s="13">
        <v>0</v>
      </c>
      <c r="E6" s="13">
        <f>Premissas!B18*Premissas!B14</f>
        <v>8002.6666666666661</v>
      </c>
      <c r="F6" s="1" t="s">
        <v>70</v>
      </c>
      <c r="G6" s="1" t="s">
        <v>73</v>
      </c>
      <c r="H6" s="1" t="s">
        <v>68</v>
      </c>
    </row>
    <row r="7" spans="1:8">
      <c r="A7" s="1" t="s">
        <v>74</v>
      </c>
      <c r="B7" s="13">
        <f>Premissas!B22*12</f>
        <v>14719.68</v>
      </c>
      <c r="C7" s="13">
        <v>0</v>
      </c>
      <c r="D7" s="13">
        <v>0</v>
      </c>
      <c r="E7" s="13">
        <v>0</v>
      </c>
      <c r="F7" s="1" t="s">
        <v>75</v>
      </c>
      <c r="G7" s="1" t="s">
        <v>76</v>
      </c>
      <c r="H7" s="1" t="s">
        <v>68</v>
      </c>
    </row>
    <row r="8" spans="1:8">
      <c r="A8" s="1" t="s">
        <v>77</v>
      </c>
      <c r="B8" s="13">
        <f>Premissas!B4*Premissas!B6</f>
        <v>1226.6400000000001</v>
      </c>
      <c r="C8" s="13">
        <v>0</v>
      </c>
      <c r="D8" s="13">
        <v>0</v>
      </c>
      <c r="E8" s="13">
        <v>0</v>
      </c>
      <c r="F8" s="1" t="s">
        <v>75</v>
      </c>
      <c r="G8" s="1" t="s">
        <v>76</v>
      </c>
      <c r="H8" s="1" t="s">
        <v>68</v>
      </c>
    </row>
    <row r="9" spans="1:8">
      <c r="A9" s="1" t="s">
        <v>78</v>
      </c>
      <c r="B9" s="13">
        <f>Premissas!B4*Premissas!B14*Premissas!B6</f>
        <v>408.88</v>
      </c>
      <c r="C9" s="13">
        <v>0</v>
      </c>
      <c r="D9" s="13">
        <v>0</v>
      </c>
      <c r="E9" s="13">
        <v>0</v>
      </c>
      <c r="F9" s="1" t="s">
        <v>75</v>
      </c>
      <c r="G9" s="1" t="s">
        <v>76</v>
      </c>
      <c r="H9" s="1" t="s">
        <v>68</v>
      </c>
    </row>
    <row r="10" spans="1:8">
      <c r="A10" s="1" t="s">
        <v>79</v>
      </c>
      <c r="B10" s="13">
        <f>Premissas!B21*12</f>
        <v>6976.1999999999989</v>
      </c>
      <c r="C10" s="13">
        <f>Premissas!B21*12</f>
        <v>6976.1999999999989</v>
      </c>
      <c r="D10" s="13">
        <f>Premissas!B21*12</f>
        <v>6976.1999999999989</v>
      </c>
      <c r="E10" s="13">
        <f>Premissas!B21*12</f>
        <v>6976.1999999999989</v>
      </c>
      <c r="F10" s="1" t="s">
        <v>80</v>
      </c>
      <c r="G10" s="1" t="s">
        <v>67</v>
      </c>
      <c r="H10" s="1" t="s">
        <v>68</v>
      </c>
    </row>
    <row r="11" spans="1:8">
      <c r="A11" s="5" t="s">
        <v>81</v>
      </c>
      <c r="B11" s="14">
        <f>SUM(B4:B10)</f>
        <v>331871.40000000002</v>
      </c>
      <c r="C11" s="14">
        <f>SUM(C4:C10)</f>
        <v>295072.2</v>
      </c>
      <c r="D11" s="14">
        <f>SUM(D4:D10)</f>
        <v>319080.2</v>
      </c>
      <c r="E11" s="14">
        <f>SUM(E4:E10)</f>
        <v>327082.8666666667</v>
      </c>
      <c r="F11" s="1" t="s">
        <v>82</v>
      </c>
      <c r="G11" s="1" t="s">
        <v>83</v>
      </c>
      <c r="H11" s="1" t="s">
        <v>68</v>
      </c>
    </row>
    <row r="12" spans="1:8">
      <c r="A12" s="1" t="s">
        <v>84</v>
      </c>
      <c r="B12" s="15">
        <f>B11/12</f>
        <v>27655.95</v>
      </c>
      <c r="C12" s="15">
        <f>C11/12</f>
        <v>24589.350000000002</v>
      </c>
      <c r="D12" s="15">
        <f>D11/12</f>
        <v>26590.016666666666</v>
      </c>
      <c r="E12" s="15">
        <f>E11/12</f>
        <v>27256.905555555557</v>
      </c>
      <c r="F12" s="1" t="s">
        <v>85</v>
      </c>
      <c r="G12" s="1" t="s">
        <v>86</v>
      </c>
      <c r="H12" s="1" t="s">
        <v>25</v>
      </c>
    </row>
    <row r="13" spans="1:8">
      <c r="A13" s="1" t="s">
        <v>87</v>
      </c>
      <c r="B13" s="15">
        <f>0</f>
        <v>0</v>
      </c>
      <c r="C13" s="15">
        <f>$B$11-C11</f>
        <v>36799.200000000012</v>
      </c>
      <c r="D13" s="15">
        <f>$B$11-D11</f>
        <v>12791.200000000012</v>
      </c>
      <c r="E13" s="15">
        <f>$B$11-E11</f>
        <v>4788.5333333333256</v>
      </c>
      <c r="F13" s="1" t="s">
        <v>88</v>
      </c>
      <c r="G13" s="1" t="s">
        <v>89</v>
      </c>
      <c r="H13" s="1" t="s">
        <v>68</v>
      </c>
    </row>
    <row r="14" spans="1:8">
      <c r="A14" s="1" t="s">
        <v>90</v>
      </c>
      <c r="B14" s="15">
        <f>0</f>
        <v>0</v>
      </c>
      <c r="C14" s="15">
        <f>C13/12</f>
        <v>3066.6000000000008</v>
      </c>
      <c r="D14" s="15">
        <f>D13/12</f>
        <v>1065.9333333333343</v>
      </c>
      <c r="E14" s="15">
        <f>E13/12</f>
        <v>399.0444444444438</v>
      </c>
      <c r="F14" s="1" t="s">
        <v>91</v>
      </c>
      <c r="G14" s="1" t="s">
        <v>86</v>
      </c>
      <c r="H14" s="1" t="s">
        <v>25</v>
      </c>
    </row>
    <row r="15" spans="1:8">
      <c r="A15" s="1" t="s">
        <v>92</v>
      </c>
      <c r="B15" s="6">
        <f>0</f>
        <v>0</v>
      </c>
      <c r="C15" s="6">
        <f>C13/$B$11</f>
        <v>0.11088391467297275</v>
      </c>
      <c r="D15" s="6">
        <f>D13/$B$11</f>
        <v>3.8542640311879872E-2</v>
      </c>
      <c r="E15" s="6">
        <f>E13/$B$11</f>
        <v>1.4428882191515524E-2</v>
      </c>
      <c r="F15" s="1" t="s">
        <v>93</v>
      </c>
      <c r="G15" s="1" t="s">
        <v>94</v>
      </c>
      <c r="H15" s="1" t="s">
        <v>30</v>
      </c>
    </row>
  </sheetData>
  <mergeCells count="1">
    <mergeCell ref="A1:H1"/>
  </mergeCells>
  <conditionalFormatting sqref="C13:E15">
    <cfRule type="expression" dxfId="3" priority="1">
      <formula>C13&gt;0</formula>
    </cfRule>
    <cfRule type="expression" dxfId="2" priority="2">
      <formula>C13&lt;0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/>
  </sheetViews>
  <sheetFormatPr defaultRowHeight="14"/>
  <cols>
    <col min="1" max="1" width="34" customWidth="1"/>
    <col min="2" max="2" width="18" customWidth="1"/>
    <col min="3" max="3" width="14" customWidth="1"/>
    <col min="4" max="4" width="34" customWidth="1"/>
    <col min="5" max="5" width="18" customWidth="1"/>
    <col min="6" max="6" width="44" customWidth="1"/>
  </cols>
  <sheetData>
    <row r="1" spans="1:6" ht="18">
      <c r="A1" s="30" t="s">
        <v>95</v>
      </c>
      <c r="B1" s="30"/>
      <c r="C1" s="30"/>
      <c r="D1" s="30"/>
      <c r="E1" s="30"/>
      <c r="F1" s="30"/>
    </row>
    <row r="2" spans="1:6">
      <c r="A2" s="1"/>
      <c r="B2" s="1"/>
      <c r="C2" s="1"/>
      <c r="D2" s="1"/>
      <c r="E2" s="1"/>
      <c r="F2" s="1"/>
    </row>
    <row r="3" spans="1:6">
      <c r="A3" s="2" t="s">
        <v>96</v>
      </c>
      <c r="B3" s="2" t="s">
        <v>2</v>
      </c>
      <c r="C3" s="2" t="s">
        <v>22</v>
      </c>
      <c r="D3" s="2" t="s">
        <v>97</v>
      </c>
      <c r="E3" s="2" t="s">
        <v>2</v>
      </c>
      <c r="F3" s="2" t="s">
        <v>63</v>
      </c>
    </row>
    <row r="4" spans="1:6">
      <c r="A4" s="1" t="s">
        <v>98</v>
      </c>
      <c r="B4" s="11">
        <f>Premissas!B18</f>
        <v>24008</v>
      </c>
      <c r="C4" s="1" t="s">
        <v>25</v>
      </c>
      <c r="D4" s="1" t="s">
        <v>99</v>
      </c>
      <c r="E4" s="13">
        <f>B4*B5</f>
        <v>312104</v>
      </c>
      <c r="F4" s="1" t="s">
        <v>100</v>
      </c>
    </row>
    <row r="5" spans="1:6">
      <c r="A5" s="1" t="s">
        <v>101</v>
      </c>
      <c r="B5" s="7">
        <v>13</v>
      </c>
      <c r="C5" s="1" t="s">
        <v>38</v>
      </c>
      <c r="D5" s="1" t="s">
        <v>102</v>
      </c>
      <c r="E5" s="13">
        <f>B4*B6</f>
        <v>0</v>
      </c>
      <c r="F5" s="1" t="s">
        <v>103</v>
      </c>
    </row>
    <row r="6" spans="1:6" ht="28">
      <c r="A6" s="1" t="s">
        <v>104</v>
      </c>
      <c r="B6" s="3">
        <v>0</v>
      </c>
      <c r="C6" s="1" t="s">
        <v>105</v>
      </c>
      <c r="D6" s="1" t="s">
        <v>106</v>
      </c>
      <c r="E6" s="13">
        <f>(B7+B8+B9+B10)*12</f>
        <v>6976.1999999999989</v>
      </c>
      <c r="F6" s="1" t="s">
        <v>107</v>
      </c>
    </row>
    <row r="7" spans="1:6">
      <c r="A7" s="1" t="s">
        <v>108</v>
      </c>
      <c r="B7" s="11">
        <f>Premissas!B19</f>
        <v>564.1099999999999</v>
      </c>
      <c r="C7" s="1" t="s">
        <v>25</v>
      </c>
      <c r="D7" s="1" t="s">
        <v>109</v>
      </c>
      <c r="E7" s="13">
        <f>B11</f>
        <v>0</v>
      </c>
      <c r="F7" s="1" t="s">
        <v>110</v>
      </c>
    </row>
    <row r="8" spans="1:6">
      <c r="A8" s="1" t="s">
        <v>111</v>
      </c>
      <c r="B8" s="11">
        <f>Premissas!B20</f>
        <v>17.239999999999995</v>
      </c>
      <c r="C8" s="1" t="s">
        <v>25</v>
      </c>
      <c r="D8" s="8" t="s">
        <v>112</v>
      </c>
      <c r="E8" s="16">
        <f>SUM(E4:E7)</f>
        <v>319080.2</v>
      </c>
      <c r="F8" s="1" t="s">
        <v>110</v>
      </c>
    </row>
    <row r="9" spans="1:6">
      <c r="A9" s="1" t="s">
        <v>113</v>
      </c>
      <c r="B9" s="11">
        <v>0</v>
      </c>
      <c r="C9" s="1" t="s">
        <v>25</v>
      </c>
      <c r="D9" s="8" t="s">
        <v>84</v>
      </c>
      <c r="E9" s="16">
        <f>E8/12</f>
        <v>26590.016666666666</v>
      </c>
      <c r="F9" s="1" t="s">
        <v>114</v>
      </c>
    </row>
    <row r="10" spans="1:6">
      <c r="A10" s="1" t="s">
        <v>115</v>
      </c>
      <c r="B10" s="11">
        <v>0</v>
      </c>
      <c r="C10" s="1" t="s">
        <v>25</v>
      </c>
      <c r="D10" s="8" t="s">
        <v>87</v>
      </c>
      <c r="E10" s="16">
        <f>Cenarios!B11-E8</f>
        <v>12791.200000000012</v>
      </c>
      <c r="F10" s="1" t="s">
        <v>116</v>
      </c>
    </row>
    <row r="11" spans="1:6">
      <c r="A11" s="1" t="s">
        <v>109</v>
      </c>
      <c r="B11" s="11">
        <v>0</v>
      </c>
      <c r="C11" s="1" t="s">
        <v>68</v>
      </c>
      <c r="D11" s="8" t="s">
        <v>92</v>
      </c>
      <c r="E11" s="9">
        <f>E10/Cenarios!B11</f>
        <v>3.8542640311879872E-2</v>
      </c>
      <c r="F11" s="1" t="s">
        <v>117</v>
      </c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31" t="s">
        <v>118</v>
      </c>
      <c r="B14" s="31"/>
      <c r="C14" s="31"/>
      <c r="D14" s="31"/>
      <c r="E14" s="31"/>
      <c r="F14" s="31"/>
    </row>
    <row r="15" spans="1:6">
      <c r="A15" s="2" t="s">
        <v>1</v>
      </c>
      <c r="B15" s="2" t="s">
        <v>97</v>
      </c>
      <c r="C15" s="2" t="s">
        <v>22</v>
      </c>
      <c r="D15" s="2" t="s">
        <v>119</v>
      </c>
      <c r="E15" s="1"/>
      <c r="F15" s="1"/>
    </row>
    <row r="16" spans="1:6">
      <c r="A16" s="1" t="s">
        <v>8</v>
      </c>
      <c r="B16" s="13">
        <f>Cenarios!B11</f>
        <v>331871.40000000002</v>
      </c>
      <c r="C16" s="1" t="s">
        <v>68</v>
      </c>
      <c r="D16" s="1" t="s">
        <v>120</v>
      </c>
      <c r="E16" s="1"/>
      <c r="F16" s="1"/>
    </row>
    <row r="17" spans="1:6">
      <c r="A17" s="1" t="s">
        <v>10</v>
      </c>
      <c r="B17" s="13">
        <f>Cenarios!B12</f>
        <v>27655.95</v>
      </c>
      <c r="C17" s="1" t="s">
        <v>25</v>
      </c>
      <c r="D17" s="1" t="s">
        <v>85</v>
      </c>
      <c r="E17" s="1"/>
      <c r="F17" s="1"/>
    </row>
    <row r="18" spans="1:6" ht="28">
      <c r="A18" s="1" t="s">
        <v>121</v>
      </c>
      <c r="B18" s="17">
        <f>(Cenarios!B11-((B7+B8+B9+B10)*12)-B11)/(B5+B6)</f>
        <v>24991.938461538462</v>
      </c>
      <c r="C18" s="1" t="s">
        <v>25</v>
      </c>
      <c r="D18" s="1" t="s">
        <v>122</v>
      </c>
      <c r="E18" s="1"/>
      <c r="F18" s="1"/>
    </row>
  </sheetData>
  <mergeCells count="2">
    <mergeCell ref="A1:F1"/>
    <mergeCell ref="A14:F14"/>
  </mergeCells>
  <conditionalFormatting sqref="E10:E11">
    <cfRule type="expression" dxfId="1" priority="1">
      <formula>E10&gt;0</formula>
    </cfRule>
    <cfRule type="expression" dxfId="0" priority="2">
      <formula>E10&lt;0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/>
  </sheetViews>
  <sheetFormatPr defaultRowHeight="14"/>
  <cols>
    <col min="1" max="1" width="26" customWidth="1"/>
    <col min="2" max="2" width="28" customWidth="1"/>
    <col min="3" max="3" width="70" customWidth="1"/>
    <col min="4" max="4" width="48" customWidth="1"/>
  </cols>
  <sheetData>
    <row r="1" spans="1:4" ht="18">
      <c r="A1" s="30" t="s">
        <v>123</v>
      </c>
      <c r="B1" s="30"/>
      <c r="C1" s="30"/>
      <c r="D1" s="30"/>
    </row>
    <row r="2" spans="1:4">
      <c r="A2" s="1"/>
      <c r="B2" s="1"/>
      <c r="C2" s="1"/>
      <c r="D2" s="1"/>
    </row>
    <row r="3" spans="1:4">
      <c r="A3" s="2" t="s">
        <v>124</v>
      </c>
      <c r="B3" s="2" t="s">
        <v>125</v>
      </c>
      <c r="C3" s="2" t="s">
        <v>126</v>
      </c>
      <c r="D3" s="2" t="s">
        <v>127</v>
      </c>
    </row>
    <row r="4" spans="1:4">
      <c r="A4" s="1" t="s">
        <v>128</v>
      </c>
      <c r="B4" s="1" t="s">
        <v>26</v>
      </c>
      <c r="C4" s="1" t="s">
        <v>129</v>
      </c>
      <c r="D4" s="1" t="s">
        <v>130</v>
      </c>
    </row>
    <row r="5" spans="1:4">
      <c r="A5" s="1" t="s">
        <v>131</v>
      </c>
      <c r="B5" s="1" t="s">
        <v>132</v>
      </c>
      <c r="C5" s="1" t="s">
        <v>133</v>
      </c>
      <c r="D5" s="1" t="s">
        <v>134</v>
      </c>
    </row>
    <row r="6" spans="1:4" ht="28">
      <c r="A6" s="1" t="s">
        <v>135</v>
      </c>
      <c r="B6" s="1" t="s">
        <v>136</v>
      </c>
      <c r="C6" s="1" t="s">
        <v>137</v>
      </c>
      <c r="D6" s="1" t="s">
        <v>138</v>
      </c>
    </row>
    <row r="7" spans="1:4" ht="28">
      <c r="A7" s="1" t="s">
        <v>29</v>
      </c>
      <c r="B7" s="1" t="s">
        <v>139</v>
      </c>
      <c r="C7" s="1" t="s">
        <v>140</v>
      </c>
      <c r="D7" s="1" t="s">
        <v>141</v>
      </c>
    </row>
    <row r="8" spans="1:4" ht="28">
      <c r="A8" s="1" t="s">
        <v>142</v>
      </c>
      <c r="B8" s="1" t="s">
        <v>143</v>
      </c>
      <c r="C8" s="1" t="s">
        <v>144</v>
      </c>
      <c r="D8" s="1" t="s">
        <v>145</v>
      </c>
    </row>
    <row r="9" spans="1:4">
      <c r="A9" s="1"/>
      <c r="B9" s="1"/>
      <c r="C9" s="1"/>
      <c r="D9" s="1"/>
    </row>
    <row r="10" spans="1:4">
      <c r="A10" s="31" t="s">
        <v>146</v>
      </c>
      <c r="B10" s="31"/>
      <c r="C10" s="31"/>
      <c r="D10" s="31"/>
    </row>
    <row r="11" spans="1:4">
      <c r="A11" s="32" t="s">
        <v>147</v>
      </c>
      <c r="B11" s="32"/>
      <c r="C11" s="32"/>
      <c r="D11" s="32"/>
    </row>
    <row r="12" spans="1:4">
      <c r="A12" s="32" t="s">
        <v>148</v>
      </c>
      <c r="B12" s="32"/>
      <c r="C12" s="32"/>
      <c r="D12" s="32"/>
    </row>
    <row r="13" spans="1:4">
      <c r="A13" s="32" t="s">
        <v>149</v>
      </c>
      <c r="B13" s="32"/>
      <c r="C13" s="32"/>
      <c r="D13" s="32"/>
    </row>
    <row r="15" spans="1:4">
      <c r="A15" s="33" t="s">
        <v>150</v>
      </c>
      <c r="B15" s="33"/>
      <c r="C15" s="33"/>
      <c r="D15" s="33"/>
    </row>
    <row r="16" spans="1:4" ht="28">
      <c r="A16" s="1" t="s">
        <v>151</v>
      </c>
      <c r="B16" s="1" t="s">
        <v>152</v>
      </c>
      <c r="C16" s="1" t="s">
        <v>153</v>
      </c>
      <c r="D16" s="1" t="s">
        <v>154</v>
      </c>
    </row>
    <row r="17" spans="1:4" ht="28">
      <c r="A17" s="1" t="s">
        <v>155</v>
      </c>
      <c r="B17" s="1" t="s">
        <v>136</v>
      </c>
      <c r="C17" s="1" t="s">
        <v>156</v>
      </c>
      <c r="D17" s="1" t="s">
        <v>157</v>
      </c>
    </row>
    <row r="18" spans="1:4">
      <c r="A18" s="1" t="s">
        <v>158</v>
      </c>
      <c r="B18" s="1" t="s">
        <v>159</v>
      </c>
      <c r="C18" s="1" t="s">
        <v>160</v>
      </c>
      <c r="D18" s="1" t="s">
        <v>161</v>
      </c>
    </row>
    <row r="19" spans="1:4">
      <c r="A19" s="1" t="s">
        <v>162</v>
      </c>
      <c r="B19" s="1" t="s">
        <v>163</v>
      </c>
      <c r="C19" s="1" t="s">
        <v>164</v>
      </c>
      <c r="D19" s="1" t="s">
        <v>165</v>
      </c>
    </row>
  </sheetData>
  <mergeCells count="6">
    <mergeCell ref="A15:D15"/>
    <mergeCell ref="A1:D1"/>
    <mergeCell ref="A10:D10"/>
    <mergeCell ref="A11:D11"/>
    <mergeCell ref="A12:D12"/>
    <mergeCell ref="A13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3"/>
  <sheetViews>
    <sheetView tabSelected="1" zoomScale="80" zoomScaleNormal="80" workbookViewId="0">
      <selection activeCell="E25" sqref="E25"/>
    </sheetView>
  </sheetViews>
  <sheetFormatPr defaultRowHeight="14"/>
  <cols>
    <col min="1" max="1" width="24" customWidth="1"/>
    <col min="2" max="2" width="18" customWidth="1"/>
    <col min="3" max="4" width="16" customWidth="1"/>
    <col min="5" max="5" width="18" customWidth="1"/>
    <col min="6" max="8" width="20" customWidth="1"/>
    <col min="9" max="9" width="22" customWidth="1"/>
    <col min="10" max="10" width="23" customWidth="1"/>
    <col min="11" max="12" width="18" customWidth="1"/>
    <col min="13" max="13" width="16" customWidth="1"/>
    <col min="14" max="14" width="38" customWidth="1"/>
  </cols>
  <sheetData>
    <row r="1" spans="1:14" ht="18">
      <c r="A1" s="34" t="s">
        <v>166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>
      <c r="A2" s="35" t="s">
        <v>167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36" t="s">
        <v>168</v>
      </c>
      <c r="B4" s="36"/>
      <c r="C4" s="36"/>
      <c r="D4" s="36"/>
      <c r="E4" s="1"/>
      <c r="F4" s="36" t="s">
        <v>169</v>
      </c>
      <c r="G4" s="36"/>
      <c r="H4" s="36"/>
      <c r="I4" s="36"/>
      <c r="J4" s="1"/>
      <c r="K4" s="1"/>
      <c r="L4" s="1"/>
      <c r="M4" s="1"/>
      <c r="N4" s="1"/>
    </row>
    <row r="5" spans="1:14">
      <c r="A5" s="18" t="s">
        <v>21</v>
      </c>
      <c r="B5" s="18" t="s">
        <v>2</v>
      </c>
      <c r="C5" s="18" t="s">
        <v>22</v>
      </c>
      <c r="D5" s="18" t="s">
        <v>63</v>
      </c>
      <c r="E5" s="1"/>
      <c r="F5" s="18" t="s">
        <v>1</v>
      </c>
      <c r="G5" s="18" t="s">
        <v>2</v>
      </c>
      <c r="H5" s="18" t="s">
        <v>22</v>
      </c>
      <c r="I5" s="18" t="s">
        <v>170</v>
      </c>
      <c r="J5" s="1"/>
      <c r="K5" s="1"/>
      <c r="L5" s="1"/>
      <c r="M5" s="1"/>
      <c r="N5" s="1"/>
    </row>
    <row r="6" spans="1:14" ht="56">
      <c r="A6" s="1" t="s">
        <v>171</v>
      </c>
      <c r="B6" s="19">
        <v>49.63</v>
      </c>
      <c r="C6" s="1" t="s">
        <v>172</v>
      </c>
      <c r="D6" s="1" t="s">
        <v>173</v>
      </c>
      <c r="E6" s="1"/>
      <c r="F6" s="1" t="s">
        <v>174</v>
      </c>
      <c r="G6" s="20">
        <f>ROUND((B7-B6)*12,0)</f>
        <v>184</v>
      </c>
      <c r="H6" s="1" t="s">
        <v>175</v>
      </c>
      <c r="I6" s="1" t="s">
        <v>176</v>
      </c>
      <c r="J6" s="1"/>
      <c r="K6" s="1"/>
      <c r="L6" s="1"/>
      <c r="M6" s="1"/>
      <c r="N6" s="1"/>
    </row>
    <row r="7" spans="1:14" ht="28">
      <c r="A7" s="1" t="s">
        <v>177</v>
      </c>
      <c r="B7" s="19">
        <v>65</v>
      </c>
      <c r="C7" s="1" t="s">
        <v>172</v>
      </c>
      <c r="D7" s="1" t="s">
        <v>178</v>
      </c>
      <c r="E7" s="1"/>
      <c r="F7" s="1" t="s">
        <v>179</v>
      </c>
      <c r="G7" s="20">
        <f>G6/12</f>
        <v>15.333333333333334</v>
      </c>
      <c r="H7" s="1" t="s">
        <v>172</v>
      </c>
      <c r="I7" s="1" t="s">
        <v>180</v>
      </c>
      <c r="J7" s="1"/>
      <c r="K7" s="1"/>
      <c r="L7" s="1"/>
      <c r="M7" s="1"/>
      <c r="N7" s="1"/>
    </row>
    <row r="8" spans="1:14" ht="28">
      <c r="A8" s="1" t="s">
        <v>181</v>
      </c>
      <c r="B8" s="19">
        <v>22.86</v>
      </c>
      <c r="C8" s="1" t="s">
        <v>172</v>
      </c>
      <c r="D8" s="1" t="s">
        <v>182</v>
      </c>
      <c r="E8" s="1"/>
      <c r="F8" s="1" t="s">
        <v>183</v>
      </c>
      <c r="G8" s="20">
        <f>B8+G7</f>
        <v>38.193333333333335</v>
      </c>
      <c r="H8" s="1" t="s">
        <v>172</v>
      </c>
      <c r="I8" s="1" t="s">
        <v>184</v>
      </c>
      <c r="J8" s="1"/>
      <c r="K8" s="1"/>
      <c r="L8" s="1"/>
      <c r="M8" s="1"/>
      <c r="N8" s="1"/>
    </row>
    <row r="9" spans="1:14" ht="42">
      <c r="A9" s="1" t="s">
        <v>185</v>
      </c>
      <c r="B9" s="19">
        <v>273</v>
      </c>
      <c r="C9" s="1" t="s">
        <v>175</v>
      </c>
      <c r="D9" s="1" t="s">
        <v>186</v>
      </c>
      <c r="E9" s="1"/>
      <c r="F9" s="1" t="s">
        <v>187</v>
      </c>
      <c r="G9" s="10">
        <f>MIN(1,0.6+0.02*MAX(0,G8-20))</f>
        <v>0.96386666666666665</v>
      </c>
      <c r="H9" s="1" t="s">
        <v>30</v>
      </c>
      <c r="I9" s="1" t="s">
        <v>188</v>
      </c>
      <c r="J9" s="1"/>
      <c r="K9" s="1"/>
      <c r="L9" s="1"/>
      <c r="M9" s="1"/>
      <c r="N9" s="1"/>
    </row>
    <row r="10" spans="1:14" ht="42">
      <c r="A10" s="1" t="s">
        <v>189</v>
      </c>
      <c r="B10" s="21">
        <v>1621</v>
      </c>
      <c r="C10" s="1" t="s">
        <v>25</v>
      </c>
      <c r="D10" s="1" t="s">
        <v>190</v>
      </c>
      <c r="E10" s="1"/>
      <c r="F10" s="1" t="s">
        <v>191</v>
      </c>
      <c r="G10" s="22">
        <f>MAX(0,ROUND((B14-B7)*12,0))</f>
        <v>240</v>
      </c>
      <c r="H10" s="1" t="s">
        <v>175</v>
      </c>
      <c r="I10" s="1" t="s">
        <v>192</v>
      </c>
      <c r="J10" s="1"/>
      <c r="K10" s="1"/>
      <c r="L10" s="1"/>
      <c r="M10" s="1"/>
      <c r="N10" s="1"/>
    </row>
    <row r="11" spans="1:14" ht="56">
      <c r="A11" s="1" t="s">
        <v>193</v>
      </c>
      <c r="B11" s="23">
        <v>0.11</v>
      </c>
      <c r="C11" s="1" t="s">
        <v>30</v>
      </c>
      <c r="D11" s="1" t="s">
        <v>194</v>
      </c>
      <c r="E11" s="1"/>
      <c r="F11" s="1" t="s">
        <v>195</v>
      </c>
      <c r="G11" s="10">
        <f>(1+B13)^(1/12)-1</f>
        <v>4.0741237836483535E-3</v>
      </c>
      <c r="H11" s="1" t="s">
        <v>196</v>
      </c>
      <c r="I11" s="1" t="s">
        <v>197</v>
      </c>
      <c r="J11" s="1"/>
      <c r="K11" s="1"/>
      <c r="L11" s="1"/>
      <c r="M11" s="1"/>
      <c r="N11" s="1"/>
    </row>
    <row r="12" spans="1:14">
      <c r="A12" s="1" t="s">
        <v>198</v>
      </c>
      <c r="B12" s="21">
        <v>8475.5499999999993</v>
      </c>
      <c r="C12" s="1" t="s">
        <v>25</v>
      </c>
      <c r="D12" s="1" t="s">
        <v>199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8">
      <c r="A13" s="1" t="s">
        <v>200</v>
      </c>
      <c r="B13" s="23">
        <v>0.05</v>
      </c>
      <c r="C13" s="1" t="s">
        <v>201</v>
      </c>
      <c r="D13" s="1" t="s">
        <v>202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56">
      <c r="A14" s="1" t="s">
        <v>203</v>
      </c>
      <c r="B14" s="19">
        <v>85</v>
      </c>
      <c r="C14" s="1" t="s">
        <v>172</v>
      </c>
      <c r="D14" s="1" t="s">
        <v>204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8">
      <c r="A15" s="1" t="s">
        <v>205</v>
      </c>
      <c r="B15" s="21">
        <v>607.20000000000005</v>
      </c>
      <c r="C15" s="1" t="s">
        <v>25</v>
      </c>
      <c r="D15" s="1" t="s">
        <v>206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36" t="s">
        <v>207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</row>
    <row r="19" spans="1:14" ht="24" customHeight="1">
      <c r="A19" s="18" t="s">
        <v>208</v>
      </c>
      <c r="B19" s="18" t="s">
        <v>209</v>
      </c>
      <c r="C19" s="18" t="s">
        <v>210</v>
      </c>
      <c r="D19" s="18" t="s">
        <v>211</v>
      </c>
      <c r="E19" s="18" t="s">
        <v>212</v>
      </c>
      <c r="F19" s="18" t="s">
        <v>213</v>
      </c>
      <c r="G19" s="18" t="s">
        <v>214</v>
      </c>
      <c r="H19" s="18" t="s">
        <v>215</v>
      </c>
      <c r="I19" s="18" t="s">
        <v>216</v>
      </c>
      <c r="J19" s="18" t="s">
        <v>217</v>
      </c>
      <c r="K19" s="18" t="s">
        <v>218</v>
      </c>
      <c r="L19" s="18" t="s">
        <v>219</v>
      </c>
      <c r="M19" s="18" t="s">
        <v>220</v>
      </c>
      <c r="N19" s="18" t="s">
        <v>63</v>
      </c>
    </row>
    <row r="20" spans="1:14" ht="32" customHeight="1">
      <c r="A20" s="25" t="s">
        <v>221</v>
      </c>
      <c r="B20" s="26">
        <v>1621</v>
      </c>
      <c r="C20" s="27">
        <f t="shared" ref="C20:C25" si="0">MIN(B20,$B$12)*$B$11</f>
        <v>178.31</v>
      </c>
      <c r="D20" s="27">
        <f t="shared" ref="D20:D25" si="1">MAX(0,(0.075*MIN(MAX(MAX(0,B20-MAX(C20,$B$15))-2428.8,0),397.85)+0.15*MIN(MAX(MAX(0,B20-MAX(C20,$B$15))-2826.65,0),924.4)+0.225*MIN(MAX(MAX(0,B20-MAX(C20,$B$15))-3751.05,0),913.63)+0.275*MAX(MAX(0,B20-MAX(C20,$B$15))-4664.68,0))-MAX(0,978.62-0.133145*B20))</f>
        <v>0</v>
      </c>
      <c r="E20" s="27">
        <f t="shared" ref="E20:E25" si="2">C20+D20</f>
        <v>178.31</v>
      </c>
      <c r="F20" s="27">
        <f t="shared" ref="F20:F25" si="3">MAX(0,E20-$E$20)</f>
        <v>0</v>
      </c>
      <c r="G20" s="27">
        <f t="shared" ref="G20:G25" si="4">F20</f>
        <v>0</v>
      </c>
      <c r="H20" s="27">
        <f t="shared" ref="H20:H25" si="5">G20*((1+MAX($G$11,0.000000001))^$G$6-1)/MAX($G$11,0.000000001)</f>
        <v>0</v>
      </c>
      <c r="I20" s="27">
        <f t="shared" ref="I20:I25" si="6">MAX(0,$G$9*($G$6/($B$9+$G$6))*(MIN(B20,$B$12)-$B$10))</f>
        <v>0</v>
      </c>
      <c r="J20" s="27">
        <f t="shared" ref="J20:J25" si="7">H20*MAX($G$11,0.000000001)/(1-(1+MAX($G$11,0.000000001))^(-MAX($G$10,1)))</f>
        <v>0</v>
      </c>
      <c r="K20" s="28" t="s">
        <v>222</v>
      </c>
      <c r="L20" s="27">
        <f t="shared" ref="L20:L25" si="8">MIN(B20,$B$12)</f>
        <v>1621</v>
      </c>
      <c r="M20" s="29">
        <f t="shared" ref="M20:M25" si="9">$G$6/($B$9+$G$6)</f>
        <v>0.40262582056892782</v>
      </c>
      <c r="N20" s="25" t="s">
        <v>223</v>
      </c>
    </row>
    <row r="21" spans="1:14" ht="32" customHeight="1">
      <c r="A21" s="25" t="s">
        <v>224</v>
      </c>
      <c r="B21" s="26">
        <v>4000</v>
      </c>
      <c r="C21" s="27">
        <f t="shared" si="0"/>
        <v>440</v>
      </c>
      <c r="D21" s="27">
        <f t="shared" si="1"/>
        <v>0</v>
      </c>
      <c r="E21" s="27">
        <f t="shared" si="2"/>
        <v>440</v>
      </c>
      <c r="F21" s="27">
        <f t="shared" si="3"/>
        <v>261.69</v>
      </c>
      <c r="G21" s="27">
        <f t="shared" si="4"/>
        <v>261.69</v>
      </c>
      <c r="H21" s="27">
        <f t="shared" si="5"/>
        <v>71491.421971617412</v>
      </c>
      <c r="I21" s="27">
        <f t="shared" si="6"/>
        <v>923.23662844638955</v>
      </c>
      <c r="J21" s="27">
        <f t="shared" si="7"/>
        <v>467.4369868195289</v>
      </c>
      <c r="K21" s="28">
        <f>$B$7+H21/(MAX(I21,0.01)*12)</f>
        <v>71.452970250606484</v>
      </c>
      <c r="L21" s="27">
        <f t="shared" si="8"/>
        <v>4000</v>
      </c>
      <c r="M21" s="29">
        <f t="shared" si="9"/>
        <v>0.40262582056892782</v>
      </c>
      <c r="N21" s="25" t="s">
        <v>225</v>
      </c>
    </row>
    <row r="22" spans="1:14" ht="32" customHeight="1">
      <c r="A22" s="25" t="s">
        <v>226</v>
      </c>
      <c r="B22" s="26">
        <v>6000</v>
      </c>
      <c r="C22" s="27">
        <f t="shared" si="0"/>
        <v>660</v>
      </c>
      <c r="D22" s="27">
        <f t="shared" si="1"/>
        <v>380.02850000000012</v>
      </c>
      <c r="E22" s="27">
        <f t="shared" si="2"/>
        <v>1040.0285000000001</v>
      </c>
      <c r="F22" s="27">
        <f t="shared" si="3"/>
        <v>861.71850000000018</v>
      </c>
      <c r="G22" s="27">
        <f t="shared" si="4"/>
        <v>861.71850000000018</v>
      </c>
      <c r="H22" s="27">
        <f t="shared" si="5"/>
        <v>235413.96654151558</v>
      </c>
      <c r="I22" s="27">
        <f t="shared" si="6"/>
        <v>1699.3918436177971</v>
      </c>
      <c r="J22" s="27">
        <f t="shared" si="7"/>
        <v>1539.2223589997491</v>
      </c>
      <c r="K22" s="28">
        <f>$B$7+H22/(MAX(I22,0.01)*12)</f>
        <v>76.544030070994296</v>
      </c>
      <c r="L22" s="27">
        <f t="shared" si="8"/>
        <v>6000</v>
      </c>
      <c r="M22" s="29">
        <f t="shared" si="9"/>
        <v>0.40262582056892782</v>
      </c>
      <c r="N22" s="25" t="s">
        <v>227</v>
      </c>
    </row>
    <row r="23" spans="1:14" ht="32" customHeight="1">
      <c r="A23" s="25" t="s">
        <v>228</v>
      </c>
      <c r="B23" s="26">
        <v>7350</v>
      </c>
      <c r="C23" s="27">
        <f t="shared" si="0"/>
        <v>808.5</v>
      </c>
      <c r="D23" s="27">
        <f t="shared" si="1"/>
        <v>890.18675000000007</v>
      </c>
      <c r="E23" s="27">
        <f t="shared" si="2"/>
        <v>1698.6867500000001</v>
      </c>
      <c r="F23" s="27">
        <f t="shared" si="3"/>
        <v>1520.3767500000001</v>
      </c>
      <c r="G23" s="27">
        <f t="shared" si="4"/>
        <v>1520.3767500000001</v>
      </c>
      <c r="H23" s="27">
        <f t="shared" si="5"/>
        <v>415353.64664330421</v>
      </c>
      <c r="I23" s="27">
        <f t="shared" si="6"/>
        <v>2223.2966138584975</v>
      </c>
      <c r="J23" s="27">
        <f t="shared" si="7"/>
        <v>2715.7336040753116</v>
      </c>
      <c r="K23" s="28">
        <f>$B$7+H23/(MAX(I23,0.01)*12)</f>
        <v>80.568234877519117</v>
      </c>
      <c r="L23" s="27">
        <f t="shared" si="8"/>
        <v>7350</v>
      </c>
      <c r="M23" s="29">
        <f t="shared" si="9"/>
        <v>0.40262582056892782</v>
      </c>
      <c r="N23" s="25" t="s">
        <v>229</v>
      </c>
    </row>
    <row r="24" spans="1:14" ht="32" customHeight="1">
      <c r="A24" s="25" t="s">
        <v>230</v>
      </c>
      <c r="B24" s="26">
        <v>8475.5499999999993</v>
      </c>
      <c r="C24" s="27">
        <f t="shared" si="0"/>
        <v>932.31049999999993</v>
      </c>
      <c r="D24" s="27">
        <f t="shared" si="1"/>
        <v>1165.6693624999998</v>
      </c>
      <c r="E24" s="27">
        <f t="shared" si="2"/>
        <v>2097.9798624999999</v>
      </c>
      <c r="F24" s="27">
        <f t="shared" si="3"/>
        <v>1919.6698624999999</v>
      </c>
      <c r="G24" s="27">
        <f t="shared" si="4"/>
        <v>1919.6698624999999</v>
      </c>
      <c r="H24" s="27">
        <f t="shared" si="5"/>
        <v>524437.03689932462</v>
      </c>
      <c r="I24" s="27">
        <f t="shared" si="6"/>
        <v>2660.0973650765864</v>
      </c>
      <c r="J24" s="27">
        <f t="shared" si="7"/>
        <v>3428.9605877766035</v>
      </c>
      <c r="K24" s="28">
        <f>$B$7+H24/(MAX(I24,0.01)*12)</f>
        <v>81.429130370203126</v>
      </c>
      <c r="L24" s="27">
        <f t="shared" si="8"/>
        <v>8475.5499999999993</v>
      </c>
      <c r="M24" s="29">
        <f t="shared" si="9"/>
        <v>0.40262582056892782</v>
      </c>
      <c r="N24" s="25" t="s">
        <v>231</v>
      </c>
    </row>
    <row r="25" spans="1:14" ht="32" customHeight="1">
      <c r="A25" s="25" t="s">
        <v>232</v>
      </c>
      <c r="B25" s="26">
        <v>5000</v>
      </c>
      <c r="C25" s="27">
        <f t="shared" si="0"/>
        <v>550</v>
      </c>
      <c r="D25" s="27">
        <f t="shared" si="1"/>
        <v>0</v>
      </c>
      <c r="E25" s="27">
        <f t="shared" si="2"/>
        <v>550</v>
      </c>
      <c r="F25" s="27">
        <f t="shared" si="3"/>
        <v>371.69</v>
      </c>
      <c r="G25" s="27">
        <f t="shared" si="4"/>
        <v>371.69</v>
      </c>
      <c r="H25" s="27">
        <f t="shared" si="5"/>
        <v>101542.46105174242</v>
      </c>
      <c r="I25" s="27">
        <f t="shared" si="6"/>
        <v>1311.3142360320933</v>
      </c>
      <c r="J25" s="27">
        <f t="shared" si="7"/>
        <v>663.92163869827164</v>
      </c>
      <c r="K25" s="28">
        <f>$B$7+H25/(MAX(I25,0.01)*12)</f>
        <v>71.452970250606484</v>
      </c>
      <c r="L25" s="27">
        <f t="shared" si="8"/>
        <v>5000</v>
      </c>
      <c r="M25" s="29">
        <f t="shared" si="9"/>
        <v>0.40262582056892782</v>
      </c>
      <c r="N25" s="25" t="s">
        <v>233</v>
      </c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36" t="s">
        <v>234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spans="1:14">
      <c r="A29" s="18" t="s">
        <v>1</v>
      </c>
      <c r="B29" s="18" t="s">
        <v>221</v>
      </c>
      <c r="C29" s="18" t="s">
        <v>232</v>
      </c>
      <c r="D29" s="18" t="s">
        <v>235</v>
      </c>
      <c r="E29" s="1"/>
      <c r="F29" s="37" t="s">
        <v>146</v>
      </c>
      <c r="G29" s="37"/>
      <c r="H29" s="37"/>
      <c r="I29" s="37"/>
      <c r="J29" s="37"/>
      <c r="K29" s="37"/>
      <c r="L29" s="37"/>
      <c r="M29" s="37"/>
      <c r="N29" s="37"/>
    </row>
    <row r="30" spans="1:14" ht="42">
      <c r="A30" s="1" t="s">
        <v>209</v>
      </c>
      <c r="B30" s="13">
        <f>B20</f>
        <v>1621</v>
      </c>
      <c r="C30" s="13">
        <f>B25</f>
        <v>5000</v>
      </c>
      <c r="D30" s="1" t="s">
        <v>236</v>
      </c>
      <c r="E30" s="1"/>
      <c r="F30" s="35" t="s">
        <v>237</v>
      </c>
      <c r="G30" s="35"/>
      <c r="H30" s="35"/>
      <c r="I30" s="35"/>
      <c r="J30" s="35"/>
      <c r="K30" s="35"/>
      <c r="L30" s="35"/>
      <c r="M30" s="35"/>
      <c r="N30" s="35"/>
    </row>
    <row r="31" spans="1:14" ht="28">
      <c r="A31" s="1" t="s">
        <v>212</v>
      </c>
      <c r="B31" s="13">
        <f>E20</f>
        <v>178.31</v>
      </c>
      <c r="C31" s="13">
        <f>E25</f>
        <v>550</v>
      </c>
      <c r="D31" s="1" t="s">
        <v>238</v>
      </c>
      <c r="E31" s="1"/>
      <c r="F31" s="35"/>
      <c r="G31" s="35"/>
      <c r="H31" s="35"/>
      <c r="I31" s="35"/>
      <c r="J31" s="35"/>
      <c r="K31" s="35"/>
      <c r="L31" s="35"/>
      <c r="M31" s="35"/>
      <c r="N31" s="35"/>
    </row>
    <row r="32" spans="1:14" ht="70">
      <c r="A32" s="1" t="s">
        <v>239</v>
      </c>
      <c r="B32" s="13">
        <f>H20</f>
        <v>0</v>
      </c>
      <c r="C32" s="13">
        <f>H25</f>
        <v>101542.46105174242</v>
      </c>
      <c r="D32" s="1" t="s">
        <v>240</v>
      </c>
      <c r="E32" s="1"/>
      <c r="F32" s="35"/>
      <c r="G32" s="35"/>
      <c r="H32" s="35"/>
      <c r="I32" s="35"/>
      <c r="J32" s="35"/>
      <c r="K32" s="35"/>
      <c r="L32" s="35"/>
      <c r="M32" s="35"/>
      <c r="N32" s="35"/>
    </row>
    <row r="33" spans="1:14" ht="70">
      <c r="A33" s="1" t="s">
        <v>216</v>
      </c>
      <c r="B33" s="13">
        <f>I20</f>
        <v>0</v>
      </c>
      <c r="C33" s="13">
        <f>I25</f>
        <v>1311.3142360320933</v>
      </c>
      <c r="D33" s="1" t="s">
        <v>241</v>
      </c>
      <c r="E33" s="1"/>
      <c r="F33" s="35"/>
      <c r="G33" s="35"/>
      <c r="H33" s="35"/>
      <c r="I33" s="35"/>
      <c r="J33" s="35"/>
      <c r="K33" s="35"/>
      <c r="L33" s="35"/>
      <c r="M33" s="35"/>
      <c r="N33" s="35"/>
    </row>
    <row r="34" spans="1:14" ht="98">
      <c r="A34" s="1" t="s">
        <v>218</v>
      </c>
      <c r="B34" s="24" t="str">
        <f>K20</f>
        <v>-</v>
      </c>
      <c r="C34" s="24">
        <f>K25</f>
        <v>71.452970250606484</v>
      </c>
      <c r="D34" s="1" t="s">
        <v>242</v>
      </c>
      <c r="E34" s="1"/>
      <c r="F34" s="35"/>
      <c r="G34" s="35"/>
      <c r="H34" s="35"/>
      <c r="I34" s="35"/>
      <c r="J34" s="35"/>
      <c r="K34" s="35"/>
      <c r="L34" s="35"/>
      <c r="M34" s="35"/>
      <c r="N34" s="35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36" t="s">
        <v>243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14">
      <c r="A38" s="18" t="s">
        <v>124</v>
      </c>
      <c r="B38" s="18" t="s">
        <v>125</v>
      </c>
      <c r="C38" s="18" t="s">
        <v>244</v>
      </c>
      <c r="D38" s="18" t="s">
        <v>245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56">
      <c r="A39" s="1" t="s">
        <v>161</v>
      </c>
      <c r="B39" s="1" t="s">
        <v>246</v>
      </c>
      <c r="C39" s="1" t="s">
        <v>247</v>
      </c>
      <c r="D39" s="1" t="s">
        <v>248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56">
      <c r="A40" s="1" t="s">
        <v>162</v>
      </c>
      <c r="B40" s="1" t="s">
        <v>249</v>
      </c>
      <c r="C40" s="1" t="s">
        <v>250</v>
      </c>
      <c r="D40" s="1" t="s">
        <v>251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12">
      <c r="A41" s="1" t="s">
        <v>151</v>
      </c>
      <c r="B41" s="1" t="s">
        <v>252</v>
      </c>
      <c r="C41" s="1" t="s">
        <v>153</v>
      </c>
      <c r="D41" s="1" t="s">
        <v>253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84">
      <c r="A42" s="1" t="s">
        <v>155</v>
      </c>
      <c r="B42" s="1" t="s">
        <v>136</v>
      </c>
      <c r="C42" s="1" t="s">
        <v>156</v>
      </c>
      <c r="D42" s="1" t="s">
        <v>157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70">
      <c r="A43" s="1" t="s">
        <v>254</v>
      </c>
      <c r="B43" s="1" t="s">
        <v>255</v>
      </c>
      <c r="C43" s="1" t="s">
        <v>256</v>
      </c>
      <c r="D43" s="1" t="s">
        <v>257</v>
      </c>
      <c r="E43" s="1"/>
      <c r="F43" s="1"/>
      <c r="G43" s="1"/>
      <c r="H43" s="1"/>
      <c r="I43" s="1"/>
      <c r="J43" s="1"/>
      <c r="K43" s="1"/>
      <c r="L43" s="1"/>
      <c r="M43" s="1"/>
      <c r="N43" s="1"/>
    </row>
  </sheetData>
  <mergeCells count="9">
    <mergeCell ref="A28:N28"/>
    <mergeCell ref="F29:N29"/>
    <mergeCell ref="F30:N34"/>
    <mergeCell ref="A37:N37"/>
    <mergeCell ref="A1:N1"/>
    <mergeCell ref="A2:N2"/>
    <mergeCell ref="A4:D4"/>
    <mergeCell ref="F4:I4"/>
    <mergeCell ref="A18:N18"/>
  </mergeCells>
  <conditionalFormatting sqref="H20:H25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{2C8BD66A-8C54-1BF1-193F-2B105737AC7C}</x14:id>
        </ext>
      </extLst>
    </cfRule>
  </conditionalFormatting>
  <conditionalFormatting sqref="I20:I25">
    <cfRule type="dataBar" priority="2">
      <dataBar>
        <cfvo type="min"/>
        <cfvo type="max"/>
        <color rgb="FF0F9ED5"/>
      </dataBar>
    </cfRule>
    <cfRule type="dataBar" priority="4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{28619FA3-C513-F77E-2B2C-262CCE7468C0}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8BD66A-8C54-1BF1-193F-2B105737AC7C}">
            <x14:dataBar>
              <x14:cfvo type="min"/>
              <x14:cfvo type="max"/>
              <x14:negativeFillColor auto="1"/>
              <x14:axisColor auto="1"/>
            </x14:dataBar>
          </x14:cfRule>
          <xm:sqref>H20:H25</xm:sqref>
        </x14:conditionalFormatting>
        <x14:conditionalFormatting xmlns:xm="http://schemas.microsoft.com/office/excel/2006/main">
          <x14:cfRule type="dataBar" id="{28619FA3-C513-F77E-2B2C-262CCE7468C0}">
            <x14:dataBar>
              <x14:cfvo type="min"/>
              <x14:cfvo type="max"/>
              <x14:negativeFillColor auto="1"/>
              <x14:axisColor auto="1"/>
            </x14:dataBar>
          </x14:cfRule>
          <xm:sqref>I20:I25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Premissas</vt:lpstr>
      <vt:lpstr>Cenarios</vt:lpstr>
      <vt:lpstr>Simulador</vt:lpstr>
      <vt:lpstr>Fontes</vt:lpstr>
      <vt:lpstr>INSS x 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Pereira</cp:lastModifiedBy>
  <dcterms:modified xsi:type="dcterms:W3CDTF">2026-09-29T00:18:38Z</dcterms:modified>
</cp:coreProperties>
</file>